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6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1.jpeg" ContentType="image/jpeg"/>
  <Override PartName="/xl/media/image2.jpeg" ContentType="image/jpeg"/>
  <Override PartName="/xl/media/image3.jpeg" ContentType="image/jpeg"/>
  <Override PartName="/xl/drawings/_rels/drawing4.xml.rels" ContentType="application/vnd.openxmlformats-package.relationships+xml"/>
  <Override PartName="/xl/drawings/_rels/drawing1.xml.rels" ContentType="application/vnd.openxmlformats-package.relationships+xml"/>
  <Override PartName="/xl/drawings/_rels/drawing3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_rels/pivotTable1.xml.rels" ContentType="application/vnd.openxmlformats-package.relationships+xml"/>
  <Override PartName="/xl/pivotTables/_rels/pivotTable2.xml.rels" ContentType="application/vnd.openxmlformats-package.relationships+xml"/>
  <Override PartName="/xl/pivotTables/pivotTable2.xml" ContentType="application/vnd.openxmlformats-officedocument.spreadsheetml.pivotTable+xml"/>
  <Override PartName="/xl/pivotTables/pivotTable1.xml" ContentType="application/vnd.openxmlformats-officedocument.spreadsheetml.pivotTable+xml"/>
  <Override PartName="/xl/pivotCache/_rels/pivotCacheDefinition2.xml.rels" ContentType="application/vnd.openxmlformats-package.relationships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Inventario " sheetId="1" state="visible" r:id="rId3"/>
    <sheet name="Hoja3" sheetId="2" state="visible" r:id="rId4"/>
    <sheet name="Salidas " sheetId="3" state="visible" r:id="rId5"/>
    <sheet name="Hoja4" sheetId="4" state="visible" r:id="rId6"/>
    <sheet name="Hoja5" sheetId="5" state="visible" r:id="rId7"/>
    <sheet name="RESUMEN INVENTARIO." sheetId="6" state="visible" r:id="rId8"/>
  </sheets>
  <definedNames>
    <definedName function="false" hidden="true" localSheetId="3" name="_xlnm._FilterDatabase" vbProcedure="false">Hoja4!$A$3:$F$400</definedName>
    <definedName function="false" hidden="false" localSheetId="2" name="_xlnm._FilterDatabase" vbProcedure="false">'Salidas '!$F$6</definedName>
  </definedNames>
  <calcPr iterateCount="100" refMode="A1" iterate="false" iterateDelta="0.0001"/>
  <pivotCaches>
    <pivotCache cacheId="1" r:id="rId10"/>
    <pivotCache cacheId="2" r:id="rId11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<sst xmlns="http://schemas.openxmlformats.org/spreadsheetml/2006/main" count="2903" uniqueCount="315">
  <si>
    <t xml:space="preserve">VIVIAN FOODS- FRANZ CHARCUTERÍA </t>
  </si>
  <si>
    <t xml:space="preserve">INVENTARIO DE PRODUCTOS TERMINADOS. </t>
  </si>
  <si>
    <t xml:space="preserve">Código Productos </t>
  </si>
  <si>
    <t xml:space="preserve">Descripción </t>
  </si>
  <si>
    <t xml:space="preserve">BONDIOLA250G</t>
  </si>
  <si>
    <t xml:space="preserve">Bondiola X 250G</t>
  </si>
  <si>
    <t xml:space="preserve">BONDIOLA</t>
  </si>
  <si>
    <t xml:space="preserve">Bondiola X Kg</t>
  </si>
  <si>
    <t xml:space="preserve">BRAT-320G</t>
  </si>
  <si>
    <t xml:space="preserve">Bratwurst x 4 unidades 320g </t>
  </si>
  <si>
    <t xml:space="preserve">CHANL-240G</t>
  </si>
  <si>
    <t xml:space="preserve">Chanchito al natural Franz doner kebab Lemon Pork 250g</t>
  </si>
  <si>
    <t xml:space="preserve">CHANP-240G</t>
  </si>
  <si>
    <t xml:space="preserve">Chanchito al natural Franz doner kebab Pork 250g</t>
  </si>
  <si>
    <t xml:space="preserve">CHISTH-6UD</t>
  </si>
  <si>
    <t xml:space="preserve">Chistorra Huachana x 6 unidades 150g</t>
  </si>
  <si>
    <t xml:space="preserve">CHORFH-KILO</t>
  </si>
  <si>
    <t xml:space="preserve">Chorizo finas hierbas por kilos (CRUDO) </t>
  </si>
  <si>
    <t xml:space="preserve">CHOFH-10UD</t>
  </si>
  <si>
    <t xml:space="preserve">Chorizo finas hierbas x 10 unidades 250g</t>
  </si>
  <si>
    <t xml:space="preserve">CHOFH-4UD</t>
  </si>
  <si>
    <t xml:space="preserve">Chorizo finas hierbas x 4 unidades 400g</t>
  </si>
  <si>
    <t xml:space="preserve">CHOFH-6UD</t>
  </si>
  <si>
    <t xml:space="preserve">Chorizo finas hierbas x 6 unidades 600g</t>
  </si>
  <si>
    <t xml:space="preserve">CHORO-KILO</t>
  </si>
  <si>
    <t xml:space="preserve">Chorizo Oxford por kilos (CRUDO)</t>
  </si>
  <si>
    <t xml:space="preserve">CHOOX-10UD</t>
  </si>
  <si>
    <t xml:space="preserve">Chorizo Oxford x 10 unidades 250g</t>
  </si>
  <si>
    <t xml:space="preserve">CHOOX-4UD</t>
  </si>
  <si>
    <t xml:space="preserve">Chorizo Oxford x 4 unidades 400g</t>
  </si>
  <si>
    <t xml:space="preserve">CHOOX-6UD</t>
  </si>
  <si>
    <t xml:space="preserve">Chorizo Oxford x 6 unidades 600g</t>
  </si>
  <si>
    <t xml:space="preserve">SWEETSPICY400G</t>
  </si>
  <si>
    <t xml:space="preserve">Chorizo Sweet Spicy 400g</t>
  </si>
  <si>
    <t xml:space="preserve">SWEETSPICY600G</t>
  </si>
  <si>
    <t xml:space="preserve">Chorizo Sweet Spicy 600g</t>
  </si>
  <si>
    <t xml:space="preserve">CORDERODONER</t>
  </si>
  <si>
    <t xml:space="preserve">Cordero Franz Doner Kebab Lamb </t>
  </si>
  <si>
    <t xml:space="preserve">COSTILLASANLUIS </t>
  </si>
  <si>
    <t xml:space="preserve">Costilla San Luis</t>
  </si>
  <si>
    <t xml:space="preserve">RIPPE </t>
  </si>
  <si>
    <t xml:space="preserve">FRNKFC-10UD</t>
  </si>
  <si>
    <t xml:space="preserve">Frankfurter cocktail x 10 unidades x 250g</t>
  </si>
  <si>
    <t xml:space="preserve">FRNKFG-2KG</t>
  </si>
  <si>
    <t xml:space="preserve">Frankfurter Gastronomico x 2Kg</t>
  </si>
  <si>
    <t xml:space="preserve">FRNKFG-5KG</t>
  </si>
  <si>
    <t xml:space="preserve">Frankfurter Gastronomico x 5Kg</t>
  </si>
  <si>
    <t xml:space="preserve">FRNKFG-4UD</t>
  </si>
  <si>
    <t xml:space="preserve">Frankfurter granel x 4 unidades 250g</t>
  </si>
  <si>
    <t xml:space="preserve">FRNKFM-3UD</t>
  </si>
  <si>
    <t xml:space="preserve">Frankfurter municipal x 3 unidades </t>
  </si>
  <si>
    <t xml:space="preserve">FRNKF-1KG</t>
  </si>
  <si>
    <t xml:space="preserve">Frankfurter x 1Kg</t>
  </si>
  <si>
    <t xml:space="preserve">MAYGR-0001</t>
  </si>
  <si>
    <t xml:space="preserve">Greek Mayonnaise</t>
  </si>
  <si>
    <t xml:space="preserve">HUMIBC-0001</t>
  </si>
  <si>
    <t xml:space="preserve">Humita blanca de carne</t>
  </si>
  <si>
    <t xml:space="preserve">HUMIBQ-0002</t>
  </si>
  <si>
    <t xml:space="preserve">Humita blanca de queso</t>
  </si>
  <si>
    <t xml:space="preserve">HUMIDM-0003</t>
  </si>
  <si>
    <t xml:space="preserve">Humita dulce manjar</t>
  </si>
  <si>
    <t xml:space="preserve">HUMIVP-0004</t>
  </si>
  <si>
    <t xml:space="preserve">Humita verde de pollo</t>
  </si>
  <si>
    <t xml:space="preserve">HUMIVQ-0006</t>
  </si>
  <si>
    <t xml:space="preserve">Humita verde de queso </t>
  </si>
  <si>
    <t xml:space="preserve">JAMOPA-ENTER</t>
  </si>
  <si>
    <t xml:space="preserve">Jamon del paÍs (Entero) X Kilos </t>
  </si>
  <si>
    <t xml:space="preserve">JAMONPA-200G</t>
  </si>
  <si>
    <t xml:space="preserve">Jamon del país artesanal 200g</t>
  </si>
  <si>
    <t xml:space="preserve">JAMONPA-250G</t>
  </si>
  <si>
    <t xml:space="preserve">Jamon del país artesanal 250g</t>
  </si>
  <si>
    <t xml:space="preserve">JAMONPA-500G</t>
  </si>
  <si>
    <t xml:space="preserve">Jamon del país artesanal 500g</t>
  </si>
  <si>
    <t xml:space="preserve">JAMINGL-ENTNV</t>
  </si>
  <si>
    <t xml:space="preserve">Jamon Ingles (Entero)</t>
  </si>
  <si>
    <t xml:space="preserve">JAMINGL-250G</t>
  </si>
  <si>
    <t xml:space="preserve">Jamon Ingles x 250g</t>
  </si>
  <si>
    <t xml:space="preserve">JAMINGL-300G</t>
  </si>
  <si>
    <t xml:space="preserve">Jamon Ingles x 300g </t>
  </si>
  <si>
    <t xml:space="preserve">JAMPIZZ-ENTER</t>
  </si>
  <si>
    <t xml:space="preserve">Jamon pizza  x 3.2 Kg (Entero)</t>
  </si>
  <si>
    <t xml:space="preserve">JAMPIZZ-250G</t>
  </si>
  <si>
    <t xml:space="preserve">Jamon pizza x 250g</t>
  </si>
  <si>
    <t xml:space="preserve">JAMPIZZ-500G</t>
  </si>
  <si>
    <t xml:space="preserve">Jamon Pizza x 500g</t>
  </si>
  <si>
    <t xml:space="preserve">LOMOAHUMADO</t>
  </si>
  <si>
    <t xml:space="preserve">Lomo Ahumado. </t>
  </si>
  <si>
    <t xml:space="preserve">LOMO AHUMADO-250g</t>
  </si>
  <si>
    <t xml:space="preserve">Lomo ahumado x 250g</t>
  </si>
  <si>
    <t xml:space="preserve">LOMO AHUMADO-300g</t>
  </si>
  <si>
    <t xml:space="preserve">Lomo Ahumado x 300g</t>
  </si>
  <si>
    <t xml:space="preserve">LOMO AHUMADO-500g</t>
  </si>
  <si>
    <t xml:space="preserve">Lomo Ahumado x 500g</t>
  </si>
  <si>
    <t xml:space="preserve">LONGANIZA</t>
  </si>
  <si>
    <t xml:space="preserve">Longaniza Huachana x 350g</t>
  </si>
  <si>
    <t xml:space="preserve">MORCIC-10UD</t>
  </si>
  <si>
    <t xml:space="preserve">Morcilla Cocktail x10</t>
  </si>
  <si>
    <t xml:space="preserve">MORCIG-3UD</t>
  </si>
  <si>
    <t xml:space="preserve">Morcilla Granel x3</t>
  </si>
  <si>
    <t xml:space="preserve">POMTUR-0001</t>
  </si>
  <si>
    <t xml:space="preserve">Pomarola Turka </t>
  </si>
  <si>
    <t xml:space="preserve">SMOPORBEEF</t>
  </si>
  <si>
    <t xml:space="preserve">Smoked Pork Beef </t>
  </si>
  <si>
    <t xml:space="preserve">SOLOMILLO </t>
  </si>
  <si>
    <t xml:space="preserve">Solomillo x KILO </t>
  </si>
  <si>
    <t xml:space="preserve">TAMALCHANCHO</t>
  </si>
  <si>
    <t xml:space="preserve">Tamal de Chancho </t>
  </si>
  <si>
    <t xml:space="preserve">TOCINATKILOS</t>
  </si>
  <si>
    <t xml:space="preserve">Tocino Ahumado Natural Entero </t>
  </si>
  <si>
    <t xml:space="preserve">TOCAHN-200G</t>
  </si>
  <si>
    <t xml:space="preserve">Tocino Ahumado Natural x200g</t>
  </si>
  <si>
    <t xml:space="preserve">TOCAHN-250G</t>
  </si>
  <si>
    <t xml:space="preserve">Tocino Ahumado Natural x250g</t>
  </si>
  <si>
    <t xml:space="preserve">TOCAHN-500G</t>
  </si>
  <si>
    <t xml:space="preserve">Tocino Ahumado Natural x500g</t>
  </si>
  <si>
    <t xml:space="preserve">TOCAHR-100G</t>
  </si>
  <si>
    <t xml:space="preserve">Tocino Ahumado Redondo  x 100g (ROJO)</t>
  </si>
  <si>
    <t xml:space="preserve">TOCAHR-200G</t>
  </si>
  <si>
    <t xml:space="preserve">Tocino Ahumado Redondo  x 200g (ROJO)</t>
  </si>
  <si>
    <t xml:space="preserve">TOCAHR-ENTER</t>
  </si>
  <si>
    <t xml:space="preserve">Tocino Ahumado Redondo (Entero) (ROJO) X KILOS </t>
  </si>
  <si>
    <t xml:space="preserve">TOCAHR-500G</t>
  </si>
  <si>
    <t xml:space="preserve">Tocino ahumado Redondo x 500g (ROJO)</t>
  </si>
  <si>
    <t xml:space="preserve">VIENESA-1KG</t>
  </si>
  <si>
    <t xml:space="preserve">Vienesa x 1 kilo </t>
  </si>
  <si>
    <t xml:space="preserve">VIENESA-5UD</t>
  </si>
  <si>
    <t xml:space="preserve">Vienesa x 5 unidades X 250g</t>
  </si>
  <si>
    <t xml:space="preserve">VIENESA-KILO</t>
  </si>
  <si>
    <t xml:space="preserve">Vienesa x 5kg </t>
  </si>
  <si>
    <t xml:space="preserve">TATA-KILO</t>
  </si>
  <si>
    <t xml:space="preserve">Jamon tata entero</t>
  </si>
  <si>
    <t xml:space="preserve">TATA-250G</t>
  </si>
  <si>
    <t xml:space="preserve">Jamon tata x 250 gr</t>
  </si>
  <si>
    <t xml:space="preserve">TATAFHIERBAS-KILO</t>
  </si>
  <si>
    <t xml:space="preserve">Jamon tata a las finas hierbas entero</t>
  </si>
  <si>
    <t xml:space="preserve">TATAFHIERBAS-250G</t>
  </si>
  <si>
    <t xml:space="preserve">Jamon tata a las finas hierbas x 250 g</t>
  </si>
  <si>
    <t xml:space="preserve">TATAFHIERBAS-300G</t>
  </si>
  <si>
    <t xml:space="preserve">Jamon tata a las finas hierbas x 300g</t>
  </si>
  <si>
    <t xml:space="preserve">NONNA-250G</t>
  </si>
  <si>
    <t xml:space="preserve">Jamon La nonna x 250g</t>
  </si>
  <si>
    <t xml:space="preserve">NONNA-300G</t>
  </si>
  <si>
    <t xml:space="preserve">Jamon La nonna x 300g</t>
  </si>
  <si>
    <t xml:space="preserve">NONNA</t>
  </si>
  <si>
    <t xml:space="preserve">Jamon la nonna entero</t>
  </si>
  <si>
    <t xml:space="preserve">ARTESANOAJO-KILO</t>
  </si>
  <si>
    <t xml:space="preserve">Jamon artesano al ajo</t>
  </si>
  <si>
    <t xml:space="preserve">ARTESANOAJO-250G</t>
  </si>
  <si>
    <t xml:space="preserve">Jamon  artesano x 250g</t>
  </si>
  <si>
    <t xml:space="preserve">(vacío)</t>
  </si>
  <si>
    <t xml:space="preserve">SALIDAS DE PRODUCTOS. </t>
  </si>
  <si>
    <t xml:space="preserve">CLIENTE </t>
  </si>
  <si>
    <t xml:space="preserve">Fecha </t>
  </si>
  <si>
    <t xml:space="preserve">Código Producto </t>
  </si>
  <si>
    <t xml:space="preserve">Cantidad </t>
  </si>
  <si>
    <t xml:space="preserve">Kg</t>
  </si>
  <si>
    <t xml:space="preserve">4JYM</t>
  </si>
  <si>
    <t xml:space="preserve">ITALIAN FINE FOODS S.A.C.</t>
  </si>
  <si>
    <t xml:space="preserve">DON MARIO</t>
  </si>
  <si>
    <t xml:space="preserve">EDINSON MENDOZA CAVERO</t>
  </si>
  <si>
    <t xml:space="preserve">MUNDO VEGETAL</t>
  </si>
  <si>
    <t xml:space="preserve">INVERSIONES MARCOSVI S.A.C.</t>
  </si>
  <si>
    <t xml:space="preserve">CESAR PEREIRA</t>
  </si>
  <si>
    <t xml:space="preserve">CLAUDIA CAMAIORA</t>
  </si>
  <si>
    <t xml:space="preserve">GONZALO BEDOYA</t>
  </si>
  <si>
    <t xml:space="preserve">IGNACIO BUSTAMANTE</t>
  </si>
  <si>
    <t xml:space="preserve">CAROSSO</t>
  </si>
  <si>
    <t xml:space="preserve">D´TODO PRODUCCIONES</t>
  </si>
  <si>
    <t xml:space="preserve">CALIDAD</t>
  </si>
  <si>
    <t xml:space="preserve">ROVEGNO</t>
  </si>
  <si>
    <t xml:space="preserve">CARINA NAJARRO</t>
  </si>
  <si>
    <t xml:space="preserve">JAIR RAMIREZ RODRIGUEZ</t>
  </si>
  <si>
    <t xml:space="preserve">HANNY RODRIGO</t>
  </si>
  <si>
    <t xml:space="preserve">FRANCESCA NIERI</t>
  </si>
  <si>
    <t xml:space="preserve">TEAM VISION</t>
  </si>
  <si>
    <t xml:space="preserve">D´THOMAS MAGDALENA</t>
  </si>
  <si>
    <t xml:space="preserve">D´THOMAS MIRAFLORES</t>
  </si>
  <si>
    <t xml:space="preserve">JIMENA DE LA VILLA</t>
  </si>
  <si>
    <t xml:space="preserve">KARLA GONZALES</t>
  </si>
  <si>
    <t xml:space="preserve">ROSA MARIA VILLA REAL</t>
  </si>
  <si>
    <t xml:space="preserve">ABEL AGUIRRE</t>
  </si>
  <si>
    <t xml:space="preserve">LA LONJA</t>
  </si>
  <si>
    <t xml:space="preserve">GUSTAVO DENICOLAY</t>
  </si>
  <si>
    <t xml:space="preserve">EDUARDO GONZALES (MUESTRA)</t>
  </si>
  <si>
    <t xml:space="preserve">RICARDO MARTINS (MUESTRA)</t>
  </si>
  <si>
    <t xml:space="preserve">PIZZA FACTORY</t>
  </si>
  <si>
    <t xml:space="preserve">LUCIANO VERME BELAUNDE</t>
  </si>
  <si>
    <t xml:space="preserve">TEAM  VISION</t>
  </si>
  <si>
    <t xml:space="preserve">ANIBAL ESTELA DAVILA</t>
  </si>
  <si>
    <t xml:space="preserve">ANIBAL ESTELA DAVILA (MUESTRA)</t>
  </si>
  <si>
    <t xml:space="preserve">CESAR PEREIRA </t>
  </si>
  <si>
    <t xml:space="preserve">FRUTOS DEL SUR</t>
  </si>
  <si>
    <t xml:space="preserve">4JYM (MUESTRA)</t>
  </si>
  <si>
    <t xml:space="preserve">LOS PORTALES (MUESTRA)</t>
  </si>
  <si>
    <t xml:space="preserve">CECILIA CARRASCO VERGARA (MUESTRA)</t>
  </si>
  <si>
    <t xml:space="preserve">DON MARIO (MUESTRA)</t>
  </si>
  <si>
    <t xml:space="preserve">CECILIA CARRASCO VERGARA</t>
  </si>
  <si>
    <t xml:space="preserve">HUMBERTO CORDOVA</t>
  </si>
  <si>
    <t xml:space="preserve">QUESOS CHOGUR</t>
  </si>
  <si>
    <t xml:space="preserve">QUESOS CHOGUR (MUESTRA)</t>
  </si>
  <si>
    <t xml:space="preserve">D´TODO PRODUCCIONES (REPOSICION)</t>
  </si>
  <si>
    <t xml:space="preserve">ROMASA (MUESTRA)</t>
  </si>
  <si>
    <t xml:space="preserve">CLIENTE JIMMY (MUESTRA)</t>
  </si>
  <si>
    <t xml:space="preserve">FRANCESCA BETETTA</t>
  </si>
  <si>
    <t xml:space="preserve">FRANCESCA BETETTA (MUESTRA)</t>
  </si>
  <si>
    <t xml:space="preserve">MARIA JULIA (MUESTRA)</t>
  </si>
  <si>
    <t xml:space="preserve">FRANCISCO (MUESTRA)</t>
  </si>
  <si>
    <t xml:space="preserve">GUILLERMO (MUESTRA)</t>
  </si>
  <si>
    <t xml:space="preserve">INVERSIONES RIE</t>
  </si>
  <si>
    <t xml:space="preserve">RODRIGO QUESADA</t>
  </si>
  <si>
    <t xml:space="preserve">LORENA NICOLINI</t>
  </si>
  <si>
    <t xml:space="preserve">MARCEL RODRIGUEZ (MUESTRA)</t>
  </si>
  <si>
    <t xml:space="preserve">CARMEN NAJARRO</t>
  </si>
  <si>
    <t xml:space="preserve">JOHNNY`S DELIVERY</t>
  </si>
  <si>
    <t xml:space="preserve">PIZZZ MANIA</t>
  </si>
  <si>
    <t xml:space="preserve">CRISTINA CAMAIORA</t>
  </si>
  <si>
    <t xml:space="preserve">EL BODEGON DEL VALLE </t>
  </si>
  <si>
    <t xml:space="preserve">PIURA (MUESTRA)</t>
  </si>
  <si>
    <t xml:space="preserve">CAJAMARCA (MUESTRA)</t>
  </si>
  <si>
    <t xml:space="preserve">PIZZA RAUL (MUESTRA)</t>
  </si>
  <si>
    <t xml:space="preserve">ALL FRESH (MUESTRA)</t>
  </si>
  <si>
    <t xml:space="preserve">TALIA CLAUX (MUESTRA)</t>
  </si>
  <si>
    <t xml:space="preserve">JIMMY (MUESTRA)</t>
  </si>
  <si>
    <t xml:space="preserve">GUZMAN VILLACORTA SILVIA</t>
  </si>
  <si>
    <t xml:space="preserve">KARLA GONZALES (MUESTRA)</t>
  </si>
  <si>
    <t xml:space="preserve">PANADERIA LA ROCCA (MUESTRA)</t>
  </si>
  <si>
    <t xml:space="preserve">QUECOMEPERU (MUESTRA)</t>
  </si>
  <si>
    <t xml:space="preserve">PIZZAMANIA</t>
  </si>
  <si>
    <t xml:space="preserve">BODEGON DEL VALLE</t>
  </si>
  <si>
    <t xml:space="preserve">TALIA CLAUX</t>
  </si>
  <si>
    <t xml:space="preserve">LYNCH CAFÉ</t>
  </si>
  <si>
    <t xml:space="preserve">PATRICIA BADINOTA (MUESTRA)</t>
  </si>
  <si>
    <t xml:space="preserve">GONZALO (MUESTRA)</t>
  </si>
  <si>
    <t xml:space="preserve">FULL SANGUCHON (MUESTRA)</t>
  </si>
  <si>
    <t xml:space="preserve">FULL SANGUCHON</t>
  </si>
  <si>
    <t xml:space="preserve">YOHALIS VIERA</t>
  </si>
  <si>
    <t xml:space="preserve">YOHALIS VIERA (MUESTRA)</t>
  </si>
  <si>
    <t xml:space="preserve">JUAN DE DIOS VILLANUEVA</t>
  </si>
  <si>
    <t xml:space="preserve">KATIA MOSCOL</t>
  </si>
  <si>
    <t xml:space="preserve">KATIA MOSCOL (MUESTRA)</t>
  </si>
  <si>
    <t xml:space="preserve">PANADERIA LA ROCCA </t>
  </si>
  <si>
    <t xml:space="preserve">ENZO (MUESTRA)</t>
  </si>
  <si>
    <t xml:space="preserve">INVENTARIO DE VENTAS AGOSTO </t>
  </si>
  <si>
    <t xml:space="preserve">Datos</t>
  </si>
  <si>
    <t xml:space="preserve">Suma de Cantidad </t>
  </si>
  <si>
    <t xml:space="preserve">Suma de Kg</t>
  </si>
  <si>
    <t xml:space="preserve">Total Resultado</t>
  </si>
  <si>
    <t xml:space="preserve">RESUMEN DE INVENTARIO DE VENTAS MES DE AGOSTO </t>
  </si>
  <si>
    <t xml:space="preserve">PRODUCTOS </t>
  </si>
  <si>
    <t xml:space="preserve">CANTIDADES</t>
  </si>
  <si>
    <t xml:space="preserve">KILOS </t>
  </si>
  <si>
    <t xml:space="preserve">CHORIZOS</t>
  </si>
  <si>
    <t xml:space="preserve">OXFORD PARRILLERO POR KILOS (CRUDO)</t>
  </si>
  <si>
    <t xml:space="preserve">OXFORD PARRILLERO COCKTAIL X 250G</t>
  </si>
  <si>
    <t xml:space="preserve">OXFORD PARRILLERO 400G</t>
  </si>
  <si>
    <t xml:space="preserve">OXFORD PARRILLERO 600G</t>
  </si>
  <si>
    <t xml:space="preserve">FINAS HIERBAS POR KILOS (CRUDO)</t>
  </si>
  <si>
    <t xml:space="preserve">FINAS HIERBAS COCKTAIL 250G</t>
  </si>
  <si>
    <t xml:space="preserve">FINAS HIERBAS 400G</t>
  </si>
  <si>
    <t xml:space="preserve">FINAS HIERBAS 600G</t>
  </si>
  <si>
    <t xml:space="preserve">SWEET SPICY X400G</t>
  </si>
  <si>
    <t xml:space="preserve">SWEET SPICY X600G</t>
  </si>
  <si>
    <t xml:space="preserve">TOTAL CHORIZOS </t>
  </si>
  <si>
    <t xml:space="preserve">SALCHICHAS</t>
  </si>
  <si>
    <t xml:space="preserve">BRATWURST 320G</t>
  </si>
  <si>
    <t xml:space="preserve">VIENESA 250G</t>
  </si>
  <si>
    <t xml:space="preserve">VIENESA X 1KG </t>
  </si>
  <si>
    <t xml:space="preserve">FRANKFURTER 250G</t>
  </si>
  <si>
    <t xml:space="preserve">FRANKFURTER COCKTAIL</t>
  </si>
  <si>
    <t xml:space="preserve">FRANKFURTER MUNICIPAL X 420G</t>
  </si>
  <si>
    <t xml:space="preserve">FRANKFURTER X 1KG</t>
  </si>
  <si>
    <t xml:space="preserve">FRANKFURTER GASTRONOMICO X 2KG </t>
  </si>
  <si>
    <t xml:space="preserve">FRANKFURTER GASTRONOMICO X 5KG</t>
  </si>
  <si>
    <t xml:space="preserve">TOTAL SALCHICHAS </t>
  </si>
  <si>
    <t xml:space="preserve">ESPECIALES</t>
  </si>
  <si>
    <t xml:space="preserve">CHISTORRAS HUACHANAS 150G</t>
  </si>
  <si>
    <t xml:space="preserve">MORCILLA COCKTAIL 250G</t>
  </si>
  <si>
    <t xml:space="preserve">MORCILLA x3 (290G) </t>
  </si>
  <si>
    <t xml:space="preserve">TOCINO NATURAL ARTESANAL  (ENTERO)</t>
  </si>
  <si>
    <t xml:space="preserve">TOCINO NATURAL 200G</t>
  </si>
  <si>
    <t xml:space="preserve">TOCINO NATURAL 250G</t>
  </si>
  <si>
    <t xml:space="preserve">TOCINO NATURAL 500G</t>
  </si>
  <si>
    <t xml:space="preserve">TOCINO AHUMADO ARTESANAL (ENTERO) (ROJO)</t>
  </si>
  <si>
    <t xml:space="preserve">TOCINO AHUMADO ARTESANAL 100G (ROJO) </t>
  </si>
  <si>
    <t xml:space="preserve">TOCINO AHUMADO ARTESANAL 200G (ROJO)</t>
  </si>
  <si>
    <t xml:space="preserve">TOCINO AHUMADO ARTESANAL 500G (ROJO)</t>
  </si>
  <si>
    <t xml:space="preserve">LONGANIZA (350G)</t>
  </si>
  <si>
    <t xml:space="preserve">LOMO AHUMADO X250G</t>
  </si>
  <si>
    <t xml:space="preserve">LOMO AHUMADO X500G</t>
  </si>
  <si>
    <t xml:space="preserve">BONDIOLA X KILO </t>
  </si>
  <si>
    <t xml:space="preserve">BONDIOLA X250G</t>
  </si>
  <si>
    <t xml:space="preserve">FRANZ DONER KEBAB LEMON PORK 250G</t>
  </si>
  <si>
    <t xml:space="preserve">FRANZ DONER KEBAB PORK 250G</t>
  </si>
  <si>
    <t xml:space="preserve">FRANZ DONER KABAB LAMB 250G</t>
  </si>
  <si>
    <t xml:space="preserve">GREEK MAYONNAISE </t>
  </si>
  <si>
    <t xml:space="preserve">POMAROLA TURKA </t>
  </si>
  <si>
    <t xml:space="preserve">TOTAL ESPECIALES </t>
  </si>
  <si>
    <t xml:space="preserve">JAMONES</t>
  </si>
  <si>
    <t xml:space="preserve">JAMON PIZZERO MOLDE </t>
  </si>
  <si>
    <t xml:space="preserve">JAMON PIZZERO 250G</t>
  </si>
  <si>
    <t xml:space="preserve">JAMON  PIZZERO 500G</t>
  </si>
  <si>
    <t xml:space="preserve">JAMON INGLES MOLDE </t>
  </si>
  <si>
    <t xml:space="preserve">JAMON INGLES 250G</t>
  </si>
  <si>
    <t xml:space="preserve">JAMON INGLES 300G</t>
  </si>
  <si>
    <t xml:space="preserve">JAMON DEL PAIS (ENTERO) </t>
  </si>
  <si>
    <t xml:space="preserve">JAMON DEL PAIS 250G</t>
  </si>
  <si>
    <t xml:space="preserve">JAMON LA NONNA </t>
  </si>
  <si>
    <t xml:space="preserve">JAMON LA NONNA X250G</t>
  </si>
  <si>
    <t xml:space="preserve">JAMON LA NONNA X300G </t>
  </si>
  <si>
    <t xml:space="preserve">JAMON EL TATA </t>
  </si>
  <si>
    <t xml:space="preserve">JAMON EL TATA x250G </t>
  </si>
  <si>
    <t xml:space="preserve">JAMON EL TATA A LAS FINAS HIERBAS  (ENTERO) </t>
  </si>
  <si>
    <t xml:space="preserve">JAMON EL TATA A LAS FINAS HIERBAS x300G</t>
  </si>
  <si>
    <t xml:space="preserve">TOTAL JAMONES </t>
  </si>
  <si>
    <t xml:space="preserve">TOTAL GENERAL 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</si>
</sst>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@"/>
    <numFmt numFmtId="166" formatCode="dd/mm/yyyy"/>
    <numFmt numFmtId="167" formatCode="General"/>
    <numFmt numFmtId="168" formatCode="dd\-mmm"/>
    <numFmt numFmtId="169" formatCode="#,##0"/>
    <numFmt numFmtId="170" formatCode="0.00"/>
    <numFmt numFmtId="171" formatCode="&quot;S/&quot;#,##0.00"/>
  </numFmts>
  <fonts count="2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name val="Calibri"/>
      <family val="2"/>
      <charset val="1"/>
    </font>
    <font>
      <b val="true"/>
      <sz val="16"/>
      <name val="Calibri"/>
      <family val="2"/>
      <charset val="1"/>
    </font>
    <font>
      <b val="true"/>
      <sz val="12"/>
      <name val="Calibri"/>
      <family val="2"/>
      <charset val="1"/>
    </font>
    <font>
      <b val="true"/>
      <sz val="14"/>
      <name val="Calibri"/>
      <family val="2"/>
      <charset val="1"/>
    </font>
    <font>
      <sz val="14"/>
      <name val="Calibri"/>
      <family val="2"/>
      <charset val="1"/>
    </font>
    <font>
      <sz val="18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b val="true"/>
      <sz val="11"/>
      <name val="Calibri"/>
      <family val="2"/>
      <charset val="1"/>
    </font>
    <font>
      <b val="true"/>
      <sz val="12"/>
      <color rgb="FFFF0000"/>
      <name val="Calibri"/>
      <family val="2"/>
      <charset val="1"/>
    </font>
    <font>
      <b val="true"/>
      <sz val="12"/>
      <color rgb="FF000000"/>
      <name val="Calibri"/>
      <family val="2"/>
      <charset val="1"/>
    </font>
    <font>
      <b val="true"/>
      <sz val="14"/>
      <color rgb="FF000000"/>
      <name val="Calibri"/>
      <family val="2"/>
      <charset val="1"/>
    </font>
    <font>
      <sz val="16"/>
      <color rgb="FF000000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D0CECE"/>
        <bgColor rgb="FFCCCCFF"/>
      </patternFill>
    </fill>
  </fills>
  <borders count="26">
    <border diagonalUp="false" diagonalDown="false">
      <left/>
      <right/>
      <top/>
      <bottom/>
      <diagonal/>
    </border>
    <border diagonalUp="false" diagonalDown="false">
      <left/>
      <right/>
      <top/>
      <bottom style="thin">
        <color rgb="FF9DC3E6"/>
      </bottom>
      <diagonal/>
    </border>
    <border diagonalUp="false" diagonalDown="false">
      <left/>
      <right/>
      <top style="thin">
        <color rgb="FF9DC3E6"/>
      </top>
      <bottom style="double">
        <color rgb="FF9DC3E6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/>
      <top/>
      <bottom style="double">
        <color rgb="FF9DC3E6"/>
      </bottom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thin"/>
      <right style="thin"/>
      <top style="thin"/>
      <bottom/>
      <diagonal/>
    </border>
  </borders>
  <cellStyleXfs count="2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5" fillId="0" borderId="0" applyFont="true" applyBorder="false" applyAlignment="true" applyProtection="false">
      <alignment horizontal="left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</cellStyleXfs>
  <cellXfs count="7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2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0" fillId="2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5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6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7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0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1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22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5" fillId="0" borderId="23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24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17" fillId="0" borderId="0" xfId="2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8" fillId="0" borderId="0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3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3" xfId="2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4" fillId="0" borderId="6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19" fillId="0" borderId="6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9" fillId="0" borderId="3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8" fillId="0" borderId="3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9" fillId="0" borderId="6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8" fillId="0" borderId="6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4" fillId="0" borderId="3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4" fillId="0" borderId="0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3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9" fillId="0" borderId="25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8" fillId="0" borderId="25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20" applyFont="false" applyBorder="true" applyAlignment="true" applyProtection="false">
      <alignment horizontal="general" vertical="bottom" textRotation="0" wrapText="true" indent="0" shrinkToFit="false"/>
      <protection locked="true" hidden="false"/>
    </xf>
    <xf numFmtId="171" fontId="14" fillId="0" borderId="3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4" fillId="0" borderId="0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3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8" fillId="0" borderId="3" xfId="2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1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Esquina de la tabla dinámica" xfId="21"/>
    <cellStyle name="Valor de la tabla dinámica" xfId="22"/>
    <cellStyle name="Campo de la tabla dinámica" xfId="23"/>
    <cellStyle name="Categoría de la tabla dinámica" xfId="24"/>
    <cellStyle name="Título de la tabla dinámica" xfId="25"/>
    <cellStyle name="Resultado de la tabla dinámica" xfId="26"/>
  </cellStyles>
  <dxfs count="690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DC3E6"/>
      <rgbColor rgb="FFFF99CC"/>
      <rgbColor rgb="FFCC99FF"/>
      <rgbColor rgb="FFF4B183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11" Type="http://schemas.openxmlformats.org/officeDocument/2006/relationships/pivotCacheDefinition" Target="pivotCache/pivotCacheDefinition2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0</xdr:colOff>
      <xdr:row>9</xdr:row>
      <xdr:rowOff>0</xdr:rowOff>
    </xdr:from>
    <xdr:to>
      <xdr:col>2</xdr:col>
      <xdr:colOff>304560</xdr:colOff>
      <xdr:row>9</xdr:row>
      <xdr:rowOff>304560</xdr:rowOff>
    </xdr:to>
    <xdr:sp>
      <xdr:nvSpPr>
        <xdr:cNvPr id="0" name="CustomShape 1"/>
        <xdr:cNvSpPr/>
      </xdr:nvSpPr>
      <xdr:spPr>
        <a:xfrm>
          <a:off x="8002080" y="2733480"/>
          <a:ext cx="304560" cy="30456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170640</xdr:colOff>
      <xdr:row>0</xdr:row>
      <xdr:rowOff>73440</xdr:rowOff>
    </xdr:from>
    <xdr:to>
      <xdr:col>0</xdr:col>
      <xdr:colOff>943560</xdr:colOff>
      <xdr:row>3</xdr:row>
      <xdr:rowOff>146520</xdr:rowOff>
    </xdr:to>
    <xdr:pic>
      <xdr:nvPicPr>
        <xdr:cNvPr id="1" name="Imagen 1" descr=""/>
        <xdr:cNvPicPr/>
      </xdr:nvPicPr>
      <xdr:blipFill>
        <a:blip r:embed="rId1"/>
        <a:stretch/>
      </xdr:blipFill>
      <xdr:spPr>
        <a:xfrm>
          <a:off x="170640" y="73440"/>
          <a:ext cx="772920" cy="72072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276120</xdr:colOff>
      <xdr:row>1</xdr:row>
      <xdr:rowOff>171360</xdr:rowOff>
    </xdr:from>
    <xdr:to>
      <xdr:col>0</xdr:col>
      <xdr:colOff>1152000</xdr:colOff>
      <xdr:row>6</xdr:row>
      <xdr:rowOff>37800</xdr:rowOff>
    </xdr:to>
    <xdr:pic>
      <xdr:nvPicPr>
        <xdr:cNvPr id="2" name="Imagen 1" descr=""/>
        <xdr:cNvPicPr/>
      </xdr:nvPicPr>
      <xdr:blipFill>
        <a:blip r:embed="rId1"/>
        <a:stretch/>
      </xdr:blipFill>
      <xdr:spPr>
        <a:xfrm>
          <a:off x="276120" y="361800"/>
          <a:ext cx="875880" cy="8190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19080</xdr:colOff>
      <xdr:row>0</xdr:row>
      <xdr:rowOff>85680</xdr:rowOff>
    </xdr:from>
    <xdr:to>
      <xdr:col>1</xdr:col>
      <xdr:colOff>866160</xdr:colOff>
      <xdr:row>3</xdr:row>
      <xdr:rowOff>161640</xdr:rowOff>
    </xdr:to>
    <xdr:pic>
      <xdr:nvPicPr>
        <xdr:cNvPr id="3" name="Imagen 1" descr=""/>
        <xdr:cNvPicPr/>
      </xdr:nvPicPr>
      <xdr:blipFill>
        <a:blip r:embed="rId1"/>
        <a:stretch/>
      </xdr:blipFill>
      <xdr:spPr>
        <a:xfrm>
          <a:off x="603000" y="85680"/>
          <a:ext cx="847080" cy="790200"/>
        </a:xfrm>
        <a:prstGeom prst="rect">
          <a:avLst/>
        </a:prstGeom>
        <a:ln>
          <a:noFill/>
        </a:ln>
      </xdr:spPr>
    </xdr:pic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_rels/pivotCacheDefinition2.xml.rels><?xml version="1.0" encoding="UTF-8"?>
<Relationships xmlns="http://schemas.openxmlformats.org/package/2006/relationships"><Relationship Id="rId1" Type="http://schemas.openxmlformats.org/officeDocument/2006/relationships/pivotCacheRecords" Target="pivotCacheRecords2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397" createdVersion="3">
  <cacheSource type="worksheet">
    <worksheetSource ref="A3:F400" sheet="Hoja4"/>
  </cacheSource>
  <cacheFields count="6">
    <cacheField name="CLIENTE " numFmtId="0">
      <sharedItems count="55">
        <s v="4JYM"/>
        <s v="ABEL AGUIRRE"/>
        <s v="ANIBAL ESTELA DAVILA"/>
        <s v="BODEGON DEL VALLE"/>
        <s v="CALIDAD"/>
        <s v="CARINA NAJARRO"/>
        <s v="CARMEN NAJARRO"/>
        <s v="CAROSSO"/>
        <s v="CECILIA CARRASCO VERGARA"/>
        <s v="CESAR PEREIRA"/>
        <s v="CESAR PEREIRA "/>
        <s v="CLAUDIA CAMAIORA"/>
        <s v="CRISTINA CAMAIORA"/>
        <s v="D´THOMAS MAGDALENA"/>
        <s v="D´THOMAS MIRAFLORES"/>
        <s v="D´TODO PRODUCCIONES"/>
        <s v="DON MARIO"/>
        <s v="EDINSON MENDOZA CAVERO"/>
        <s v="EL BODEGON DEL VALLE "/>
        <s v="FRANCESCA BETETTA"/>
        <s v="FRANCESCA NIERI"/>
        <s v="FRUTOS DEL SUR"/>
        <s v="FULL SANGUCHON"/>
        <s v="GONZALO BEDOYA"/>
        <s v="GUSTAVO DENICOLAY"/>
        <s v="GUZMAN VILLACORTA SILVIA"/>
        <s v="HANNY RODRIGO"/>
        <s v="HUMBERTO CORDOVA"/>
        <s v="IGNACIO BUSTAMANTE"/>
        <s v="INVERSIONES MARCOSVI S.A.C."/>
        <s v="INVERSIONES RIE"/>
        <s v="ITALIAN FINE FOODS S.A.C."/>
        <s v="JAIR RAMIREZ RODRIGUEZ"/>
        <s v="JIMENA DE LA VILLA"/>
        <s v="JOHNNY`S DELIVERY"/>
        <s v="JUAN DE DIOS VILLANUEVA"/>
        <s v="KARLA GONZALES"/>
        <s v="KATIA MOSCOL"/>
        <s v="LA LONJA"/>
        <s v="LORENA NICOLINI"/>
        <s v="LUCIANO VERME BELAUNDE"/>
        <s v="LYNCH CAFÉ"/>
        <s v="MUNDO VEGETAL"/>
        <s v="PANADERIA LA ROCCA "/>
        <s v="PIZZA FACTORY"/>
        <s v="PIZZAMANIA"/>
        <s v="PIZZZ MANIA"/>
        <s v="QUESOS CHOGUR"/>
        <s v="RODRIGO QUESADA"/>
        <s v="ROSA MARIA VILLA REAL"/>
        <s v="ROVEGNO"/>
        <s v="TALIA CLAUX"/>
        <s v="TEAM  VISION"/>
        <s v="TEAM VISION"/>
        <s v="YOHALIS VIERA"/>
      </sharedItems>
    </cacheField>
    <cacheField name="Fecha " numFmtId="0">
      <sharedItems containsSemiMixedTypes="0" containsNonDate="0" containsDate="1" containsString="0" minDate="2020-08-03T00:00:00" maxDate="2020-08-31T00:00:00" count="23">
        <d v="2020-08-03T00:00:00"/>
        <d v="2020-08-04T00:00:00"/>
        <d v="2020-08-05T00:00:00"/>
        <d v="2020-08-06T00:00:00"/>
        <d v="2020-08-07T00:00:00"/>
        <d v="2020-08-08T00:00:00"/>
        <d v="2020-08-10T00:00:00"/>
        <d v="2020-08-11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25T00:00:00"/>
        <d v="2020-08-26T00:00:00"/>
        <d v="2020-08-27T00:00:00"/>
        <d v="2020-08-28T00:00:00"/>
        <d v="2020-08-29T00:00:00"/>
        <d v="2020-08-31T00:00:00"/>
      </sharedItems>
    </cacheField>
    <cacheField name="Código Producto " numFmtId="0">
      <sharedItems count="55">
        <s v="BONDIOLA"/>
        <s v="BONDIOLA250G"/>
        <s v="BRAT-320G"/>
        <s v="CHANL-240G"/>
        <s v="CHANP-240G"/>
        <s v="CHISTH-6UD"/>
        <s v="CHOFH-10UD"/>
        <s v="CHOFH-4UD"/>
        <s v="CHOFH-6UD"/>
        <s v="CHOOX-10UD"/>
        <s v="CHOOX-4UD"/>
        <s v="CHOOX-6UD"/>
        <s v="CHORO-KILO"/>
        <s v="CORDERODONER"/>
        <s v="FRNKF-1KG"/>
        <s v="FRNKFC-10UD"/>
        <s v="FRNKFG-2KG"/>
        <s v="FRNKFG-4UD"/>
        <s v="FRNKFG-5KG"/>
        <s v="FRNKFM-3UD"/>
        <s v="JAMINGL-250G"/>
        <s v="JAMINGL-300G"/>
        <s v="JAMINGL-ENTNV"/>
        <s v="JAMONPA-250G"/>
        <s v="JAMOPA-ENTER"/>
        <s v="JAMPIZZ-250G"/>
        <s v="JAMPIZZ-500G"/>
        <s v="JAMPIZZ-ENTER"/>
        <s v="LOMO AHUMADO-250g"/>
        <s v="LOMO AHUMADO-500g"/>
        <s v="LONGANIZA"/>
        <s v="MAYGR-0001"/>
        <s v="MORCIC-10UD"/>
        <s v="MORCIG-3UD"/>
        <s v="NONNA"/>
        <s v="NONNA-250G"/>
        <s v="NONNA-300G"/>
        <s v="POMTUR-0001"/>
        <s v="SOLOMILLO "/>
        <s v="SWEETSPICY400G"/>
        <s v="SWEETSPICY600G"/>
        <s v="TATA-250G"/>
        <s v="TATA-KILO"/>
        <s v="TATAFHIERBAS-300G"/>
        <s v="TATAFHIERBAS-KILO"/>
        <s v="TOCAHN-200G"/>
        <s v="TOCAHN-250G"/>
        <s v="TOCAHN-500G"/>
        <s v="TOCAHR-100G"/>
        <s v="TOCAHR-200G"/>
        <s v="TOCAHR-500G"/>
        <s v="TOCAHR-ENTER"/>
        <s v="TOCINATKILOS"/>
        <s v="VIENESA-1KG"/>
        <s v="VIENESA-5UD"/>
      </sharedItems>
    </cacheField>
    <cacheField name="Descripción " numFmtId="0">
      <sharedItems count="55">
        <s v="Bondiola X 250G"/>
        <s v="Bondiola X Kg"/>
        <s v="Bratwurst x 4 unidades 320g "/>
        <s v="Chanchito al natural Franz doner kebab Lemon Pork 250g"/>
        <s v="Chanchito al natural Franz doner kebab Pork 250g"/>
        <s v="Chistorra Huachana x 6 unidades 150g"/>
        <s v="Chorizo finas hierbas x 10 unidades 250g"/>
        <s v="Chorizo finas hierbas x 4 unidades 400g"/>
        <s v="Chorizo finas hierbas x 6 unidades 600g"/>
        <s v="Chorizo Oxford por kilos (CRUDO)"/>
        <s v="Chorizo Oxford x 10 unidades 250g"/>
        <s v="Chorizo Oxford x 4 unidades 400g"/>
        <s v="Chorizo Oxford x 6 unidades 600g"/>
        <s v="Chorizo Sweet Spicy 400g"/>
        <s v="Chorizo Sweet Spicy 600g"/>
        <s v="Cordero Franz Doner Kebab Lamb "/>
        <s v="Frankfurter cocktail x 10 unidades x 250g"/>
        <s v="Frankfurter Gastronomico x 2Kg"/>
        <s v="Frankfurter Gastronomico x 5Kg"/>
        <s v="Frankfurter granel x 4 unidades 250g"/>
        <s v="Frankfurter municipal x 3 unidades "/>
        <s v="Frankfurter x 1Kg"/>
        <s v="Greek Mayonnaise"/>
        <s v="Jamon del paÍs (Entero) X Kilos "/>
        <s v="Jamon del país artesanal 250g"/>
        <s v="Jamon Ingles (Entero)"/>
        <s v="Jamon Ingles x 250g"/>
        <s v="Jamon Ingles x 300g "/>
        <s v="Jamon la nonna entero"/>
        <s v="Jamon La nonna x 250g"/>
        <s v="Jamon La nonna x 300g"/>
        <s v="Jamon pizza  x 3.2 Kg (Entero)"/>
        <s v="Jamon pizza x 250g"/>
        <s v="Jamon Pizza x 500g"/>
        <s v="Jamon tata a las finas hierbas entero"/>
        <s v="Jamon tata a las finas hierbas x 300g"/>
        <s v="Jamon tata entero"/>
        <s v="Jamon tata x 250 gr"/>
        <s v="Lomo ahumado x 250g"/>
        <s v="Lomo Ahumado x 500g"/>
        <s v="Longaniza Huachana x 350g"/>
        <s v="Morcilla Cocktail x10"/>
        <s v="Morcilla Granel x3"/>
        <s v="Pomarola Turka "/>
        <s v="Solomillo x KILO "/>
        <s v="Tocino Ahumado Natural Entero "/>
        <s v="Tocino Ahumado Natural x200g"/>
        <s v="Tocino Ahumado Natural x250g"/>
        <s v="Tocino Ahumado Natural x500g"/>
        <s v="Tocino Ahumado Redondo  x 100g (ROJO)"/>
        <s v="Tocino Ahumado Redondo  x 200g (ROJO)"/>
        <s v="Tocino Ahumado Redondo (Entero) (ROJO) X KILOS "/>
        <s v="Tocino ahumado Redondo x 500g (ROJO)"/>
        <s v="Vienesa x 1 kilo "/>
        <s v="Vienesa x 5 unidades X 250g"/>
      </sharedItems>
    </cacheField>
    <cacheField name="Cantidad " numFmtId="0">
      <sharedItems containsSemiMixedTypes="0" containsString="0" containsNumber="1" minValue="0.5" maxValue="80" count="46">
        <n v="0.5"/>
        <n v="1"/>
        <n v="2"/>
        <n v="2.71"/>
        <n v="2.77"/>
        <n v="2.94"/>
        <n v="2.95"/>
        <n v="2.98"/>
        <n v="2.99"/>
        <n v="3"/>
        <n v="3.12"/>
        <n v="3.575"/>
        <n v="4"/>
        <n v="4.43"/>
        <n v="4.595"/>
        <n v="4.875"/>
        <n v="5"/>
        <n v="5.59"/>
        <n v="6"/>
        <n v="6.2"/>
        <n v="6.3"/>
        <n v="7"/>
        <n v="8"/>
        <n v="9"/>
        <n v="10"/>
        <n v="12"/>
        <n v="13"/>
        <n v="15"/>
        <n v="16"/>
        <n v="18"/>
        <n v="18.54"/>
        <n v="18.89"/>
        <n v="18.94"/>
        <n v="18.96"/>
        <n v="20"/>
        <n v="24.87"/>
        <n v="25"/>
        <n v="30"/>
        <n v="31.54"/>
        <n v="34"/>
        <n v="35"/>
        <n v="47.43"/>
        <n v="47.565"/>
        <n v="52"/>
        <n v="60"/>
        <n v="80"/>
      </sharedItems>
    </cacheField>
    <cacheField name="Kg" numFmtId="0">
      <sharedItems containsSemiMixedTypes="0" containsString="0" containsNumber="1" minValue="0.15" maxValue="100" count="81">
        <n v="0.15"/>
        <n v="0.2"/>
        <n v="0.24"/>
        <n v="0.25"/>
        <n v="0.3"/>
        <n v="0.32"/>
        <n v="0.35"/>
        <n v="0.4"/>
        <n v="0.45"/>
        <n v="0.48"/>
        <n v="0.5"/>
        <n v="0.6"/>
        <n v="0.64"/>
        <n v="0.68"/>
        <n v="0.7"/>
        <n v="0.75"/>
        <n v="0.8"/>
        <n v="0.9"/>
        <n v="0.96"/>
        <n v="1"/>
        <n v="1.2"/>
        <n v="1.25"/>
        <n v="1.36"/>
        <n v="1.44"/>
        <n v="1.5"/>
        <n v="1.6"/>
        <n v="1.7"/>
        <n v="1.75"/>
        <n v="1.8"/>
        <n v="1.92"/>
        <n v="2"/>
        <n v="2.24"/>
        <n v="2.25"/>
        <n v="2.4"/>
        <n v="2.5"/>
        <n v="2.71"/>
        <n v="2.77"/>
        <n v="2.88"/>
        <n v="2.94"/>
        <n v="2.95"/>
        <n v="2.98"/>
        <n v="2.99"/>
        <n v="3"/>
        <n v="3.12"/>
        <n v="3.15"/>
        <n v="3.2"/>
        <n v="3.575"/>
        <n v="3.6"/>
        <n v="3.75"/>
        <n v="4"/>
        <n v="4.2"/>
        <n v="4.43"/>
        <n v="4.5"/>
        <n v="4.595"/>
        <n v="4.8"/>
        <n v="4.875"/>
        <n v="5"/>
        <n v="5.59"/>
        <n v="6"/>
        <n v="6.2"/>
        <n v="6.3"/>
        <n v="6.5"/>
        <n v="7"/>
        <n v="7.2"/>
        <n v="10"/>
        <n v="15"/>
        <n v="18.54"/>
        <n v="18.89"/>
        <n v="18.94"/>
        <n v="18.96"/>
        <n v="20"/>
        <n v="24.87"/>
        <n v="25"/>
        <n v="30"/>
        <n v="31.54"/>
        <n v="47.43"/>
        <n v="47.565"/>
        <n v="52"/>
        <n v="68"/>
        <n v="75"/>
        <n v="100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cordCount="702" createdVersion="3">
  <cacheSource type="worksheet">
    <worksheetSource ref="A6:F708" sheet="Salidas "/>
  </cacheSource>
  <cacheFields count="6">
    <cacheField name="CLIENTE " numFmtId="0">
      <sharedItems count="85">
        <s v="4JYM"/>
        <s v="4JYM (MUESTRA)"/>
        <s v="ABEL AGUIRRE"/>
        <s v="ALL FRESH (MUESTRA)"/>
        <s v="ANIBAL ESTELA DAVILA"/>
        <s v="ANIBAL ESTELA DAVILA (MUESTRA)"/>
        <s v="BODEGON DEL VALLE"/>
        <s v="CAJAMARCA (MUESTRA)"/>
        <s v="CALIDAD"/>
        <s v="CARINA NAJARRO"/>
        <s v="CARMEN NAJARRO"/>
        <s v="CAROSSO"/>
        <s v="CECILIA CARRASCO VERGARA"/>
        <s v="CECILIA CARRASCO VERGARA (MUESTRA)"/>
        <s v="CESAR PEREIRA"/>
        <s v="CESAR PEREIRA "/>
        <s v="CLAUDIA CAMAIORA"/>
        <s v="CLIENTE JIMMY (MUESTRA)"/>
        <s v="CRISTINA CAMAIORA"/>
        <s v="D´THOMAS MAGDALENA"/>
        <s v="D´THOMAS MIRAFLORES"/>
        <s v="D´TODO PRODUCCIONES"/>
        <s v="D´TODO PRODUCCIONES (REPOSICION)"/>
        <s v="DON MARIO"/>
        <s v="DON MARIO (MUESTRA)"/>
        <s v="EDINSON MENDOZA CAVERO"/>
        <s v="EDUARDO GONZALES (MUESTRA)"/>
        <s v="EL BODEGON DEL VALLE "/>
        <s v="FRANCESCA BETETTA"/>
        <s v="FRANCESCA BETETTA (MUESTRA)"/>
        <s v="FRANCESCA NIERI"/>
        <s v="FRANCISCO (MUESTRA)"/>
        <s v="FRUTOS DEL SUR"/>
        <s v="FULL SANGUCHON"/>
        <s v="FULL SANGUCHON (MUESTRA)"/>
        <s v="GONZALO (MUESTRA)"/>
        <s v="GONZALO BEDOYA"/>
        <s v="GUILLERMO (MUESTRA)"/>
        <s v="GUSTAVO DENICOLAY"/>
        <s v="GUZMAN VILLACORTA SILVIA"/>
        <s v="HANNY RODRIGO"/>
        <s v="HUMBERTO CORDOVA"/>
        <s v="IGNACIO BUSTAMANTE"/>
        <s v="INVERSIONES MARCOSVI S.A.C."/>
        <s v="INVERSIONES RIE"/>
        <s v="ITALIAN FINE FOODS S.A.C."/>
        <s v="JAIR RAMIREZ RODRIGUEZ"/>
        <s v="JIMENA DE LA VILLA"/>
        <s v="JIMMY (MUESTRA)"/>
        <s v="JOHNNY`S DELIVERY"/>
        <s v="JUAN DE DIOS VILLANUEVA"/>
        <s v="KARLA GONZALES"/>
        <s v="KARLA GONZALES (MUESTRA)"/>
        <s v="KATIA MOSCOL"/>
        <s v="KATIA MOSCOL (MUESTRA)"/>
        <s v="LA LONJA"/>
        <s v="LORENA NICOLINI"/>
        <s v="LOS PORTALES (MUESTRA)"/>
        <s v="LUCIANO VERME BELAUNDE"/>
        <s v="LYNCH CAFÉ"/>
        <s v="MARCEL RODRIGUEZ (MUESTRA)"/>
        <s v="MARIA JULIA (MUESTRA)"/>
        <s v="MUNDO VEGETAL"/>
        <s v="PANADERIA LA ROCCA "/>
        <s v="PANADERIA LA ROCCA (MUESTRA)"/>
        <s v="PATRICIA BADINOTA (MUESTRA)"/>
        <s v="PIURA (MUESTRA)"/>
        <s v="PIZZA FACTORY"/>
        <s v="PIZZA RAUL (MUESTRA)"/>
        <s v="PIZZAMANIA"/>
        <s v="PIZZZ MANIA"/>
        <s v="QUECOMEPERU (MUESTRA)"/>
        <s v="QUESOS CHOGUR"/>
        <s v="QUESOS CHOGUR (MUESTRA)"/>
        <s v="RICARDO MARTINS (MUESTRA)"/>
        <s v="RODRIGO QUESADA"/>
        <s v="ROMASA (MUESTRA)"/>
        <s v="ROSA MARIA VILLA REAL"/>
        <s v="ROVEGNO"/>
        <s v="TALIA CLAUX"/>
        <s v="TALIA CLAUX (MUESTRA)"/>
        <s v="TEAM  VISION"/>
        <s v="TEAM VISION"/>
        <s v="YOHALIS VIERA"/>
        <s v="YOHALIS VIERA (MUESTRA)"/>
      </sharedItems>
    </cacheField>
    <cacheField name="Fecha " numFmtId="0">
      <sharedItems containsSemiMixedTypes="0" containsNonDate="0" containsDate="1" containsString="0" minDate="2020-08-03T00:00:00" maxDate="2020-08-31T00:00:00" count="23">
        <d v="2020-08-03T00:00:00"/>
        <d v="2020-08-04T00:00:00"/>
        <d v="2020-08-05T00:00:00"/>
        <d v="2020-08-06T00:00:00"/>
        <d v="2020-08-07T00:00:00"/>
        <d v="2020-08-08T00:00:00"/>
        <d v="2020-08-10T00:00:00"/>
        <d v="2020-08-11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25T00:00:00"/>
        <d v="2020-08-26T00:00:00"/>
        <d v="2020-08-27T00:00:00"/>
        <d v="2020-08-28T00:00:00"/>
        <d v="2020-08-29T00:00:00"/>
        <d v="2020-08-31T00:00:00"/>
      </sharedItems>
    </cacheField>
    <cacheField name="Código Producto " numFmtId="0">
      <sharedItems count="59">
        <s v="ARTESANOAJO-250G"/>
        <s v="BONDIOLA"/>
        <s v="BONDIOLA250G"/>
        <s v="BRAT-320G"/>
        <s v="CHANL-240G"/>
        <s v="CHANP-240G"/>
        <s v="CHISTH-6UD"/>
        <s v="CHOFH-10UD"/>
        <s v="CHOFH-4UD"/>
        <s v="CHOFH-6UD"/>
        <s v="CHOOX-10UD"/>
        <s v="CHOOX-4UD"/>
        <s v="CHOOX-6UD"/>
        <s v="CHORO-KILO"/>
        <s v="CORDERODONER"/>
        <s v="FRNKF-1KG"/>
        <s v="FRNKFC-10UD"/>
        <s v="FRNKFG-2KG"/>
        <s v="FRNKFG-4UD"/>
        <s v="FRNKFG-5KG"/>
        <s v="FRNKFM-3UD"/>
        <s v="JAMINGL-250G"/>
        <s v="JAMINGL-300G"/>
        <s v="JAMINGL-ENTNV"/>
        <s v="JAMONPA-250G"/>
        <s v="JAMOPA-ENTER"/>
        <s v="JAMPIZZ-250G"/>
        <s v="JAMPIZZ-500G"/>
        <s v="JAMPIZZ-ENTER"/>
        <s v="LOMO AHUMADO-250g"/>
        <s v="LOMO AHUMADO-300g"/>
        <s v="LOMO AHUMADO-500g"/>
        <s v="LOMOAHUMADO"/>
        <s v="LONGANIZA"/>
        <s v="MAYGR-0001"/>
        <s v="MORCIC-10UD"/>
        <s v="MORCIG-3UD"/>
        <s v="NONNA"/>
        <s v="NONNA-250G"/>
        <s v="NONNA-300G"/>
        <s v="POMTUR-0001"/>
        <s v="SOLOMILLO "/>
        <s v="SWEETSPICY400G"/>
        <s v="SWEETSPICY600G"/>
        <s v="TATA-250G"/>
        <s v="TATA-KILO"/>
        <s v="TATAFHIERBAS-250G"/>
        <s v="TATAFHIERBAS-300G"/>
        <s v="TATAFHIERBAS-KILO"/>
        <s v="TOCAHN-200G"/>
        <s v="TOCAHN-250G"/>
        <s v="TOCAHN-500G"/>
        <s v="TOCAHR-100G"/>
        <s v="TOCAHR-200G"/>
        <s v="TOCAHR-500G"/>
        <s v="TOCAHR-ENTER"/>
        <s v="TOCINATKILOS"/>
        <s v="VIENESA-1KG"/>
        <s v="VIENESA-5UD"/>
      </sharedItems>
    </cacheField>
    <cacheField name="Descripción " numFmtId="0">
      <sharedItems count="59">
        <s v="Bondiola X 250G"/>
        <s v="Bondiola X Kg"/>
        <s v="Bratwurst x 4 unidades 320g "/>
        <s v="Chanchito al natural Franz doner kebab Lemon Pork 250g"/>
        <s v="Chanchito al natural Franz doner kebab Pork 250g"/>
        <s v="Chistorra Huachana x 6 unidades 150g"/>
        <s v="Chorizo finas hierbas x 10 unidades 250g"/>
        <s v="Chorizo finas hierbas x 4 unidades 400g"/>
        <s v="Chorizo finas hierbas x 6 unidades 600g"/>
        <s v="Chorizo Oxford por kilos (CRUDO)"/>
        <s v="Chorizo Oxford x 10 unidades 250g"/>
        <s v="Chorizo Oxford x 4 unidades 400g"/>
        <s v="Chorizo Oxford x 6 unidades 600g"/>
        <s v="Chorizo Sweet Spicy 400g"/>
        <s v="Chorizo Sweet Spicy 600g"/>
        <s v="Cordero Franz Doner Kebab Lamb "/>
        <s v="Frankfurter cocktail x 10 unidades x 250g"/>
        <s v="Frankfurter Gastronomico x 2Kg"/>
        <s v="Frankfurter Gastronomico x 5Kg"/>
        <s v="Frankfurter granel x 4 unidades 250g"/>
        <s v="Frankfurter municipal x 3 unidades "/>
        <s v="Frankfurter x 1Kg"/>
        <s v="Greek Mayonnaise"/>
        <s v="Jamon  artesano x 250g"/>
        <s v="Jamon del paÍs (Entero) X Kilos "/>
        <s v="Jamon del país artesanal 250g"/>
        <s v="Jamon Ingles (Entero)"/>
        <s v="Jamon Ingles x 250g"/>
        <s v="Jamon Ingles x 300g "/>
        <s v="Jamon la nonna entero"/>
        <s v="Jamon La nonna x 250g"/>
        <s v="Jamon La nonna x 300g"/>
        <s v="Jamon pizza  x 3.2 Kg (Entero)"/>
        <s v="Jamon pizza x 250g"/>
        <s v="Jamon Pizza x 500g"/>
        <s v="Jamon tata a las finas hierbas entero"/>
        <s v="Jamon tata a las finas hierbas x 250 g"/>
        <s v="Jamon tata a las finas hierbas x 300g"/>
        <s v="Jamon tata entero"/>
        <s v="Jamon tata x 250 gr"/>
        <s v="Lomo ahumado x 250g"/>
        <s v="Lomo Ahumado x 300g"/>
        <s v="Lomo Ahumado x 500g"/>
        <s v="Lomo Ahumado. "/>
        <s v="Longaniza Huachana x 350g"/>
        <s v="Morcilla Cocktail x10"/>
        <s v="Morcilla Granel x3"/>
        <s v="Pomarola Turka "/>
        <s v="Solomillo x KILO "/>
        <s v="Tocino Ahumado Natural Entero "/>
        <s v="Tocino Ahumado Natural x200g"/>
        <s v="Tocino Ahumado Natural x250g"/>
        <s v="Tocino Ahumado Natural x500g"/>
        <s v="Tocino Ahumado Redondo  x 100g (ROJO)"/>
        <s v="Tocino Ahumado Redondo  x 200g (ROJO)"/>
        <s v="Tocino Ahumado Redondo (Entero) (ROJO) X KILOS "/>
        <s v="Tocino ahumado Redondo x 500g (ROJO)"/>
        <s v="Vienesa x 1 kilo "/>
        <s v="Vienesa x 5 unidades X 250g"/>
      </sharedItems>
    </cacheField>
    <cacheField name="Cantidad " numFmtId="0">
      <sharedItems containsSemiMixedTypes="0" containsString="0" containsNumber="1" minValue="0.34" maxValue="3150" count="54">
        <n v="0.34"/>
        <n v="0.35"/>
        <n v="0.5"/>
        <n v="1"/>
        <n v="1.65"/>
        <n v="2"/>
        <n v="2.325"/>
        <n v="2.565"/>
        <n v="2.575"/>
        <n v="2.71"/>
        <n v="2.77"/>
        <n v="2.94"/>
        <n v="2.95"/>
        <n v="2.98"/>
        <n v="2.99"/>
        <n v="3"/>
        <n v="3.12"/>
        <n v="3.575"/>
        <n v="4"/>
        <n v="4.43"/>
        <n v="4.595"/>
        <n v="4.875"/>
        <n v="5"/>
        <n v="5.59"/>
        <n v="5.73"/>
        <n v="6"/>
        <n v="6.2"/>
        <n v="6.3"/>
        <n v="7"/>
        <n v="8"/>
        <n v="9"/>
        <n v="10"/>
        <n v="12"/>
        <n v="13"/>
        <n v="15"/>
        <n v="16"/>
        <n v="18"/>
        <n v="18.54"/>
        <n v="18.89"/>
        <n v="18.94"/>
        <n v="18.96"/>
        <n v="20"/>
        <n v="24.87"/>
        <n v="25"/>
        <n v="30"/>
        <n v="31.54"/>
        <n v="34"/>
        <n v="35"/>
        <n v="47.43"/>
        <n v="47.565"/>
        <n v="52"/>
        <n v="60"/>
        <n v="80"/>
        <n v="3150"/>
      </sharedItems>
    </cacheField>
    <cacheField name="Kg" numFmtId="0">
      <sharedItems containsSemiMixedTypes="0" containsString="0" containsNumber="1" minValue="0.15" maxValue="3150" count="90">
        <n v="0.15"/>
        <n v="0.2"/>
        <n v="0.24"/>
        <n v="0.25"/>
        <n v="0.3"/>
        <n v="0.32"/>
        <n v="0.34"/>
        <n v="0.35"/>
        <n v="0.4"/>
        <n v="0.45"/>
        <n v="0.48"/>
        <n v="0.5"/>
        <n v="0.6"/>
        <n v="0.64"/>
        <n v="0.68"/>
        <n v="0.7"/>
        <n v="0.72"/>
        <n v="0.75"/>
        <n v="0.8"/>
        <n v="0.9"/>
        <n v="0.96"/>
        <n v="1"/>
        <n v="1.2"/>
        <n v="1.25"/>
        <n v="1.36"/>
        <n v="1.44"/>
        <n v="1.5"/>
        <n v="1.6"/>
        <n v="1.65"/>
        <n v="1.7"/>
        <n v="1.75"/>
        <n v="1.8"/>
        <n v="1.92"/>
        <n v="2"/>
        <n v="2.24"/>
        <n v="2.25"/>
        <n v="2.325"/>
        <n v="2.4"/>
        <n v="2.5"/>
        <n v="2.565"/>
        <n v="2.575"/>
        <n v="2.71"/>
        <n v="2.77"/>
        <n v="2.8"/>
        <n v="2.88"/>
        <n v="2.94"/>
        <n v="2.95"/>
        <n v="2.98"/>
        <n v="2.99"/>
        <n v="3"/>
        <n v="3.12"/>
        <n v="3.15"/>
        <n v="3.2"/>
        <n v="3.575"/>
        <n v="3.6"/>
        <n v="3.75"/>
        <n v="4"/>
        <n v="4.2"/>
        <n v="4.43"/>
        <n v="4.5"/>
        <n v="4.595"/>
        <n v="4.8"/>
        <n v="4.875"/>
        <n v="5"/>
        <n v="5.59"/>
        <n v="5.73"/>
        <n v="6"/>
        <n v="6.2"/>
        <n v="6.3"/>
        <n v="6.5"/>
        <n v="7"/>
        <n v="7.2"/>
        <n v="10"/>
        <n v="15"/>
        <n v="18.54"/>
        <n v="18.89"/>
        <n v="18.94"/>
        <n v="18.96"/>
        <n v="20"/>
        <n v="24.87"/>
        <n v="25"/>
        <n v="30"/>
        <n v="31.54"/>
        <n v="47.43"/>
        <n v="47.565"/>
        <n v="52"/>
        <n v="68"/>
        <n v="75"/>
        <n v="100"/>
        <n v="3150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7">
  <r>
    <x v="0"/>
    <x v="1"/>
    <x v="10"/>
    <x v="11"/>
    <x v="16"/>
    <x v="30"/>
  </r>
  <r>
    <x v="0"/>
    <x v="1"/>
    <x v="8"/>
    <x v="8"/>
    <x v="9"/>
    <x v="28"/>
  </r>
  <r>
    <x v="31"/>
    <x v="1"/>
    <x v="2"/>
    <x v="2"/>
    <x v="2"/>
    <x v="12"/>
  </r>
  <r>
    <x v="31"/>
    <x v="1"/>
    <x v="5"/>
    <x v="5"/>
    <x v="9"/>
    <x v="8"/>
  </r>
  <r>
    <x v="31"/>
    <x v="1"/>
    <x v="49"/>
    <x v="50"/>
    <x v="9"/>
    <x v="11"/>
  </r>
  <r>
    <x v="16"/>
    <x v="1"/>
    <x v="27"/>
    <x v="31"/>
    <x v="31"/>
    <x v="67"/>
  </r>
  <r>
    <x v="17"/>
    <x v="2"/>
    <x v="52"/>
    <x v="45"/>
    <x v="19"/>
    <x v="59"/>
  </r>
  <r>
    <x v="42"/>
    <x v="2"/>
    <x v="27"/>
    <x v="31"/>
    <x v="42"/>
    <x v="76"/>
  </r>
  <r>
    <x v="29"/>
    <x v="2"/>
    <x v="51"/>
    <x v="51"/>
    <x v="10"/>
    <x v="43"/>
  </r>
  <r>
    <x v="9"/>
    <x v="3"/>
    <x v="17"/>
    <x v="19"/>
    <x v="18"/>
    <x v="23"/>
  </r>
  <r>
    <x v="11"/>
    <x v="3"/>
    <x v="2"/>
    <x v="2"/>
    <x v="2"/>
    <x v="12"/>
  </r>
  <r>
    <x v="11"/>
    <x v="3"/>
    <x v="9"/>
    <x v="10"/>
    <x v="12"/>
    <x v="19"/>
  </r>
  <r>
    <x v="11"/>
    <x v="3"/>
    <x v="5"/>
    <x v="5"/>
    <x v="12"/>
    <x v="11"/>
  </r>
  <r>
    <x v="11"/>
    <x v="3"/>
    <x v="45"/>
    <x v="46"/>
    <x v="12"/>
    <x v="16"/>
  </r>
  <r>
    <x v="23"/>
    <x v="3"/>
    <x v="5"/>
    <x v="5"/>
    <x v="12"/>
    <x v="11"/>
  </r>
  <r>
    <x v="23"/>
    <x v="3"/>
    <x v="13"/>
    <x v="15"/>
    <x v="2"/>
    <x v="10"/>
  </r>
  <r>
    <x v="23"/>
    <x v="3"/>
    <x v="4"/>
    <x v="4"/>
    <x v="2"/>
    <x v="10"/>
  </r>
  <r>
    <x v="23"/>
    <x v="3"/>
    <x v="19"/>
    <x v="20"/>
    <x v="12"/>
    <x v="28"/>
  </r>
  <r>
    <x v="23"/>
    <x v="3"/>
    <x v="15"/>
    <x v="16"/>
    <x v="2"/>
    <x v="10"/>
  </r>
  <r>
    <x v="23"/>
    <x v="3"/>
    <x v="40"/>
    <x v="14"/>
    <x v="12"/>
    <x v="33"/>
  </r>
  <r>
    <x v="23"/>
    <x v="3"/>
    <x v="2"/>
    <x v="2"/>
    <x v="2"/>
    <x v="12"/>
  </r>
  <r>
    <x v="23"/>
    <x v="3"/>
    <x v="30"/>
    <x v="40"/>
    <x v="1"/>
    <x v="6"/>
  </r>
  <r>
    <x v="28"/>
    <x v="3"/>
    <x v="3"/>
    <x v="3"/>
    <x v="2"/>
    <x v="10"/>
  </r>
  <r>
    <x v="28"/>
    <x v="3"/>
    <x v="4"/>
    <x v="4"/>
    <x v="2"/>
    <x v="10"/>
  </r>
  <r>
    <x v="28"/>
    <x v="3"/>
    <x v="13"/>
    <x v="15"/>
    <x v="2"/>
    <x v="10"/>
  </r>
  <r>
    <x v="28"/>
    <x v="3"/>
    <x v="31"/>
    <x v="22"/>
    <x v="2"/>
    <x v="4"/>
  </r>
  <r>
    <x v="28"/>
    <x v="3"/>
    <x v="37"/>
    <x v="43"/>
    <x v="2"/>
    <x v="4"/>
  </r>
  <r>
    <x v="7"/>
    <x v="3"/>
    <x v="2"/>
    <x v="2"/>
    <x v="21"/>
    <x v="31"/>
  </r>
  <r>
    <x v="7"/>
    <x v="3"/>
    <x v="33"/>
    <x v="42"/>
    <x v="22"/>
    <x v="30"/>
  </r>
  <r>
    <x v="7"/>
    <x v="3"/>
    <x v="47"/>
    <x v="48"/>
    <x v="2"/>
    <x v="19"/>
  </r>
  <r>
    <x v="7"/>
    <x v="2"/>
    <x v="18"/>
    <x v="18"/>
    <x v="34"/>
    <x v="80"/>
  </r>
  <r>
    <x v="15"/>
    <x v="4"/>
    <x v="19"/>
    <x v="20"/>
    <x v="21"/>
    <x v="44"/>
  </r>
  <r>
    <x v="15"/>
    <x v="4"/>
    <x v="45"/>
    <x v="46"/>
    <x v="12"/>
    <x v="16"/>
  </r>
  <r>
    <x v="4"/>
    <x v="4"/>
    <x v="13"/>
    <x v="15"/>
    <x v="1"/>
    <x v="3"/>
  </r>
  <r>
    <x v="0"/>
    <x v="4"/>
    <x v="15"/>
    <x v="16"/>
    <x v="24"/>
    <x v="34"/>
  </r>
  <r>
    <x v="0"/>
    <x v="4"/>
    <x v="54"/>
    <x v="54"/>
    <x v="23"/>
    <x v="32"/>
  </r>
  <r>
    <x v="0"/>
    <x v="4"/>
    <x v="17"/>
    <x v="19"/>
    <x v="24"/>
    <x v="33"/>
  </r>
  <r>
    <x v="0"/>
    <x v="4"/>
    <x v="30"/>
    <x v="40"/>
    <x v="16"/>
    <x v="27"/>
  </r>
  <r>
    <x v="50"/>
    <x v="4"/>
    <x v="10"/>
    <x v="11"/>
    <x v="16"/>
    <x v="30"/>
  </r>
  <r>
    <x v="50"/>
    <x v="4"/>
    <x v="7"/>
    <x v="7"/>
    <x v="16"/>
    <x v="30"/>
  </r>
  <r>
    <x v="50"/>
    <x v="4"/>
    <x v="54"/>
    <x v="54"/>
    <x v="16"/>
    <x v="21"/>
  </r>
  <r>
    <x v="50"/>
    <x v="4"/>
    <x v="17"/>
    <x v="19"/>
    <x v="12"/>
    <x v="18"/>
  </r>
  <r>
    <x v="50"/>
    <x v="4"/>
    <x v="19"/>
    <x v="20"/>
    <x v="12"/>
    <x v="28"/>
  </r>
  <r>
    <x v="5"/>
    <x v="4"/>
    <x v="38"/>
    <x v="44"/>
    <x v="5"/>
    <x v="38"/>
  </r>
  <r>
    <x v="5"/>
    <x v="4"/>
    <x v="45"/>
    <x v="46"/>
    <x v="24"/>
    <x v="30"/>
  </r>
  <r>
    <x v="32"/>
    <x v="5"/>
    <x v="10"/>
    <x v="11"/>
    <x v="1"/>
    <x v="7"/>
  </r>
  <r>
    <x v="32"/>
    <x v="5"/>
    <x v="11"/>
    <x v="12"/>
    <x v="1"/>
    <x v="11"/>
  </r>
  <r>
    <x v="32"/>
    <x v="5"/>
    <x v="7"/>
    <x v="7"/>
    <x v="1"/>
    <x v="7"/>
  </r>
  <r>
    <x v="32"/>
    <x v="5"/>
    <x v="8"/>
    <x v="8"/>
    <x v="1"/>
    <x v="11"/>
  </r>
  <r>
    <x v="32"/>
    <x v="5"/>
    <x v="17"/>
    <x v="19"/>
    <x v="12"/>
    <x v="18"/>
  </r>
  <r>
    <x v="32"/>
    <x v="5"/>
    <x v="33"/>
    <x v="42"/>
    <x v="2"/>
    <x v="10"/>
  </r>
  <r>
    <x v="32"/>
    <x v="5"/>
    <x v="54"/>
    <x v="54"/>
    <x v="1"/>
    <x v="3"/>
  </r>
  <r>
    <x v="32"/>
    <x v="5"/>
    <x v="2"/>
    <x v="2"/>
    <x v="1"/>
    <x v="5"/>
  </r>
  <r>
    <x v="32"/>
    <x v="5"/>
    <x v="5"/>
    <x v="5"/>
    <x v="1"/>
    <x v="0"/>
  </r>
  <r>
    <x v="32"/>
    <x v="5"/>
    <x v="20"/>
    <x v="26"/>
    <x v="1"/>
    <x v="3"/>
  </r>
  <r>
    <x v="32"/>
    <x v="5"/>
    <x v="30"/>
    <x v="40"/>
    <x v="1"/>
    <x v="6"/>
  </r>
  <r>
    <x v="32"/>
    <x v="5"/>
    <x v="40"/>
    <x v="14"/>
    <x v="1"/>
    <x v="11"/>
  </r>
  <r>
    <x v="26"/>
    <x v="6"/>
    <x v="2"/>
    <x v="2"/>
    <x v="9"/>
    <x v="18"/>
  </r>
  <r>
    <x v="26"/>
    <x v="6"/>
    <x v="5"/>
    <x v="5"/>
    <x v="9"/>
    <x v="8"/>
  </r>
  <r>
    <x v="26"/>
    <x v="6"/>
    <x v="21"/>
    <x v="27"/>
    <x v="2"/>
    <x v="11"/>
  </r>
  <r>
    <x v="20"/>
    <x v="6"/>
    <x v="8"/>
    <x v="8"/>
    <x v="1"/>
    <x v="11"/>
  </r>
  <r>
    <x v="20"/>
    <x v="6"/>
    <x v="54"/>
    <x v="54"/>
    <x v="1"/>
    <x v="3"/>
  </r>
  <r>
    <x v="53"/>
    <x v="6"/>
    <x v="10"/>
    <x v="11"/>
    <x v="9"/>
    <x v="20"/>
  </r>
  <r>
    <x v="53"/>
    <x v="6"/>
    <x v="40"/>
    <x v="14"/>
    <x v="9"/>
    <x v="28"/>
  </r>
  <r>
    <x v="53"/>
    <x v="6"/>
    <x v="33"/>
    <x v="42"/>
    <x v="9"/>
    <x v="15"/>
  </r>
  <r>
    <x v="53"/>
    <x v="6"/>
    <x v="7"/>
    <x v="7"/>
    <x v="9"/>
    <x v="20"/>
  </r>
  <r>
    <x v="0"/>
    <x v="7"/>
    <x v="17"/>
    <x v="19"/>
    <x v="27"/>
    <x v="47"/>
  </r>
  <r>
    <x v="0"/>
    <x v="7"/>
    <x v="49"/>
    <x v="50"/>
    <x v="40"/>
    <x v="62"/>
  </r>
  <r>
    <x v="0"/>
    <x v="7"/>
    <x v="23"/>
    <x v="24"/>
    <x v="22"/>
    <x v="30"/>
  </r>
  <r>
    <x v="0"/>
    <x v="7"/>
    <x v="5"/>
    <x v="5"/>
    <x v="16"/>
    <x v="15"/>
  </r>
  <r>
    <x v="0"/>
    <x v="7"/>
    <x v="33"/>
    <x v="42"/>
    <x v="24"/>
    <x v="34"/>
  </r>
  <r>
    <x v="17"/>
    <x v="8"/>
    <x v="54"/>
    <x v="54"/>
    <x v="45"/>
    <x v="70"/>
  </r>
  <r>
    <x v="50"/>
    <x v="8"/>
    <x v="22"/>
    <x v="25"/>
    <x v="14"/>
    <x v="53"/>
  </r>
  <r>
    <x v="50"/>
    <x v="8"/>
    <x v="42"/>
    <x v="36"/>
    <x v="3"/>
    <x v="35"/>
  </r>
  <r>
    <x v="50"/>
    <x v="8"/>
    <x v="45"/>
    <x v="46"/>
    <x v="16"/>
    <x v="19"/>
  </r>
  <r>
    <x v="50"/>
    <x v="8"/>
    <x v="54"/>
    <x v="54"/>
    <x v="9"/>
    <x v="15"/>
  </r>
  <r>
    <x v="50"/>
    <x v="8"/>
    <x v="15"/>
    <x v="16"/>
    <x v="16"/>
    <x v="21"/>
  </r>
  <r>
    <x v="16"/>
    <x v="9"/>
    <x v="27"/>
    <x v="31"/>
    <x v="35"/>
    <x v="71"/>
  </r>
  <r>
    <x v="16"/>
    <x v="9"/>
    <x v="54"/>
    <x v="54"/>
    <x v="9"/>
    <x v="15"/>
  </r>
  <r>
    <x v="16"/>
    <x v="9"/>
    <x v="10"/>
    <x v="11"/>
    <x v="9"/>
    <x v="20"/>
  </r>
  <r>
    <x v="16"/>
    <x v="9"/>
    <x v="2"/>
    <x v="2"/>
    <x v="9"/>
    <x v="18"/>
  </r>
  <r>
    <x v="16"/>
    <x v="9"/>
    <x v="15"/>
    <x v="16"/>
    <x v="9"/>
    <x v="15"/>
  </r>
  <r>
    <x v="16"/>
    <x v="9"/>
    <x v="7"/>
    <x v="7"/>
    <x v="9"/>
    <x v="20"/>
  </r>
  <r>
    <x v="16"/>
    <x v="9"/>
    <x v="5"/>
    <x v="5"/>
    <x v="9"/>
    <x v="8"/>
  </r>
  <r>
    <x v="13"/>
    <x v="9"/>
    <x v="10"/>
    <x v="11"/>
    <x v="2"/>
    <x v="16"/>
  </r>
  <r>
    <x v="13"/>
    <x v="9"/>
    <x v="54"/>
    <x v="54"/>
    <x v="2"/>
    <x v="10"/>
  </r>
  <r>
    <x v="13"/>
    <x v="9"/>
    <x v="2"/>
    <x v="2"/>
    <x v="2"/>
    <x v="12"/>
  </r>
  <r>
    <x v="13"/>
    <x v="9"/>
    <x v="15"/>
    <x v="16"/>
    <x v="2"/>
    <x v="10"/>
  </r>
  <r>
    <x v="13"/>
    <x v="9"/>
    <x v="5"/>
    <x v="5"/>
    <x v="2"/>
    <x v="4"/>
  </r>
  <r>
    <x v="13"/>
    <x v="9"/>
    <x v="7"/>
    <x v="7"/>
    <x v="2"/>
    <x v="16"/>
  </r>
  <r>
    <x v="14"/>
    <x v="9"/>
    <x v="10"/>
    <x v="11"/>
    <x v="2"/>
    <x v="16"/>
  </r>
  <r>
    <x v="14"/>
    <x v="9"/>
    <x v="54"/>
    <x v="54"/>
    <x v="2"/>
    <x v="10"/>
  </r>
  <r>
    <x v="14"/>
    <x v="9"/>
    <x v="2"/>
    <x v="2"/>
    <x v="2"/>
    <x v="12"/>
  </r>
  <r>
    <x v="14"/>
    <x v="9"/>
    <x v="15"/>
    <x v="16"/>
    <x v="2"/>
    <x v="10"/>
  </r>
  <r>
    <x v="14"/>
    <x v="9"/>
    <x v="5"/>
    <x v="5"/>
    <x v="2"/>
    <x v="4"/>
  </r>
  <r>
    <x v="0"/>
    <x v="9"/>
    <x v="17"/>
    <x v="19"/>
    <x v="24"/>
    <x v="33"/>
  </r>
  <r>
    <x v="0"/>
    <x v="9"/>
    <x v="15"/>
    <x v="16"/>
    <x v="16"/>
    <x v="21"/>
  </r>
  <r>
    <x v="0"/>
    <x v="9"/>
    <x v="9"/>
    <x v="10"/>
    <x v="16"/>
    <x v="21"/>
  </r>
  <r>
    <x v="0"/>
    <x v="9"/>
    <x v="6"/>
    <x v="6"/>
    <x v="16"/>
    <x v="21"/>
  </r>
  <r>
    <x v="31"/>
    <x v="9"/>
    <x v="5"/>
    <x v="5"/>
    <x v="12"/>
    <x v="11"/>
  </r>
  <r>
    <x v="31"/>
    <x v="9"/>
    <x v="2"/>
    <x v="2"/>
    <x v="2"/>
    <x v="12"/>
  </r>
  <r>
    <x v="31"/>
    <x v="9"/>
    <x v="7"/>
    <x v="7"/>
    <x v="12"/>
    <x v="25"/>
  </r>
  <r>
    <x v="33"/>
    <x v="9"/>
    <x v="5"/>
    <x v="5"/>
    <x v="12"/>
    <x v="11"/>
  </r>
  <r>
    <x v="33"/>
    <x v="9"/>
    <x v="8"/>
    <x v="8"/>
    <x v="2"/>
    <x v="20"/>
  </r>
  <r>
    <x v="33"/>
    <x v="9"/>
    <x v="17"/>
    <x v="19"/>
    <x v="2"/>
    <x v="9"/>
  </r>
  <r>
    <x v="33"/>
    <x v="9"/>
    <x v="40"/>
    <x v="14"/>
    <x v="2"/>
    <x v="20"/>
  </r>
  <r>
    <x v="36"/>
    <x v="9"/>
    <x v="17"/>
    <x v="19"/>
    <x v="1"/>
    <x v="2"/>
  </r>
  <r>
    <x v="36"/>
    <x v="9"/>
    <x v="2"/>
    <x v="2"/>
    <x v="1"/>
    <x v="5"/>
  </r>
  <r>
    <x v="36"/>
    <x v="9"/>
    <x v="33"/>
    <x v="42"/>
    <x v="1"/>
    <x v="3"/>
  </r>
  <r>
    <x v="49"/>
    <x v="9"/>
    <x v="2"/>
    <x v="2"/>
    <x v="1"/>
    <x v="5"/>
  </r>
  <r>
    <x v="49"/>
    <x v="9"/>
    <x v="26"/>
    <x v="33"/>
    <x v="1"/>
    <x v="10"/>
  </r>
  <r>
    <x v="49"/>
    <x v="9"/>
    <x v="10"/>
    <x v="11"/>
    <x v="1"/>
    <x v="7"/>
  </r>
  <r>
    <x v="49"/>
    <x v="9"/>
    <x v="5"/>
    <x v="5"/>
    <x v="1"/>
    <x v="0"/>
  </r>
  <r>
    <x v="49"/>
    <x v="9"/>
    <x v="40"/>
    <x v="14"/>
    <x v="1"/>
    <x v="11"/>
  </r>
  <r>
    <x v="49"/>
    <x v="9"/>
    <x v="32"/>
    <x v="41"/>
    <x v="1"/>
    <x v="3"/>
  </r>
  <r>
    <x v="49"/>
    <x v="9"/>
    <x v="7"/>
    <x v="7"/>
    <x v="1"/>
    <x v="7"/>
  </r>
  <r>
    <x v="49"/>
    <x v="9"/>
    <x v="17"/>
    <x v="19"/>
    <x v="1"/>
    <x v="2"/>
  </r>
  <r>
    <x v="49"/>
    <x v="9"/>
    <x v="54"/>
    <x v="54"/>
    <x v="1"/>
    <x v="3"/>
  </r>
  <r>
    <x v="15"/>
    <x v="9"/>
    <x v="5"/>
    <x v="5"/>
    <x v="16"/>
    <x v="15"/>
  </r>
  <r>
    <x v="15"/>
    <x v="9"/>
    <x v="3"/>
    <x v="3"/>
    <x v="1"/>
    <x v="3"/>
  </r>
  <r>
    <x v="15"/>
    <x v="9"/>
    <x v="4"/>
    <x v="4"/>
    <x v="1"/>
    <x v="3"/>
  </r>
  <r>
    <x v="15"/>
    <x v="9"/>
    <x v="37"/>
    <x v="43"/>
    <x v="1"/>
    <x v="0"/>
  </r>
  <r>
    <x v="15"/>
    <x v="9"/>
    <x v="31"/>
    <x v="22"/>
    <x v="1"/>
    <x v="0"/>
  </r>
  <r>
    <x v="15"/>
    <x v="9"/>
    <x v="15"/>
    <x v="16"/>
    <x v="16"/>
    <x v="21"/>
  </r>
  <r>
    <x v="31"/>
    <x v="10"/>
    <x v="5"/>
    <x v="5"/>
    <x v="12"/>
    <x v="11"/>
  </r>
  <r>
    <x v="31"/>
    <x v="10"/>
    <x v="17"/>
    <x v="19"/>
    <x v="2"/>
    <x v="9"/>
  </r>
  <r>
    <x v="53"/>
    <x v="10"/>
    <x v="10"/>
    <x v="11"/>
    <x v="16"/>
    <x v="30"/>
  </r>
  <r>
    <x v="53"/>
    <x v="10"/>
    <x v="33"/>
    <x v="42"/>
    <x v="12"/>
    <x v="19"/>
  </r>
  <r>
    <x v="53"/>
    <x v="10"/>
    <x v="39"/>
    <x v="13"/>
    <x v="12"/>
    <x v="25"/>
  </r>
  <r>
    <x v="1"/>
    <x v="10"/>
    <x v="10"/>
    <x v="11"/>
    <x v="12"/>
    <x v="25"/>
  </r>
  <r>
    <x v="1"/>
    <x v="10"/>
    <x v="11"/>
    <x v="12"/>
    <x v="2"/>
    <x v="20"/>
  </r>
  <r>
    <x v="1"/>
    <x v="10"/>
    <x v="8"/>
    <x v="8"/>
    <x v="2"/>
    <x v="20"/>
  </r>
  <r>
    <x v="1"/>
    <x v="10"/>
    <x v="54"/>
    <x v="54"/>
    <x v="12"/>
    <x v="19"/>
  </r>
  <r>
    <x v="38"/>
    <x v="10"/>
    <x v="8"/>
    <x v="8"/>
    <x v="25"/>
    <x v="63"/>
  </r>
  <r>
    <x v="38"/>
    <x v="10"/>
    <x v="11"/>
    <x v="12"/>
    <x v="25"/>
    <x v="63"/>
  </r>
  <r>
    <x v="38"/>
    <x v="10"/>
    <x v="17"/>
    <x v="19"/>
    <x v="25"/>
    <x v="37"/>
  </r>
  <r>
    <x v="0"/>
    <x v="11"/>
    <x v="23"/>
    <x v="24"/>
    <x v="16"/>
    <x v="21"/>
  </r>
  <r>
    <x v="0"/>
    <x v="11"/>
    <x v="49"/>
    <x v="50"/>
    <x v="34"/>
    <x v="49"/>
  </r>
  <r>
    <x v="0"/>
    <x v="11"/>
    <x v="10"/>
    <x v="11"/>
    <x v="9"/>
    <x v="20"/>
  </r>
  <r>
    <x v="0"/>
    <x v="11"/>
    <x v="11"/>
    <x v="12"/>
    <x v="9"/>
    <x v="28"/>
  </r>
  <r>
    <x v="0"/>
    <x v="11"/>
    <x v="7"/>
    <x v="7"/>
    <x v="16"/>
    <x v="30"/>
  </r>
  <r>
    <x v="0"/>
    <x v="11"/>
    <x v="8"/>
    <x v="8"/>
    <x v="16"/>
    <x v="42"/>
  </r>
  <r>
    <x v="0"/>
    <x v="11"/>
    <x v="30"/>
    <x v="40"/>
    <x v="16"/>
    <x v="27"/>
  </r>
  <r>
    <x v="0"/>
    <x v="11"/>
    <x v="5"/>
    <x v="5"/>
    <x v="16"/>
    <x v="15"/>
  </r>
  <r>
    <x v="0"/>
    <x v="11"/>
    <x v="54"/>
    <x v="54"/>
    <x v="24"/>
    <x v="34"/>
  </r>
  <r>
    <x v="0"/>
    <x v="11"/>
    <x v="26"/>
    <x v="33"/>
    <x v="16"/>
    <x v="34"/>
  </r>
  <r>
    <x v="0"/>
    <x v="11"/>
    <x v="6"/>
    <x v="6"/>
    <x v="16"/>
    <x v="21"/>
  </r>
  <r>
    <x v="0"/>
    <x v="11"/>
    <x v="32"/>
    <x v="41"/>
    <x v="24"/>
    <x v="34"/>
  </r>
  <r>
    <x v="24"/>
    <x v="12"/>
    <x v="17"/>
    <x v="19"/>
    <x v="26"/>
    <x v="43"/>
  </r>
  <r>
    <x v="24"/>
    <x v="12"/>
    <x v="15"/>
    <x v="16"/>
    <x v="2"/>
    <x v="10"/>
  </r>
  <r>
    <x v="24"/>
    <x v="12"/>
    <x v="7"/>
    <x v="7"/>
    <x v="1"/>
    <x v="7"/>
  </r>
  <r>
    <x v="44"/>
    <x v="12"/>
    <x v="47"/>
    <x v="48"/>
    <x v="24"/>
    <x v="56"/>
  </r>
  <r>
    <x v="40"/>
    <x v="12"/>
    <x v="48"/>
    <x v="49"/>
    <x v="34"/>
    <x v="30"/>
  </r>
  <r>
    <x v="50"/>
    <x v="13"/>
    <x v="22"/>
    <x v="25"/>
    <x v="15"/>
    <x v="55"/>
  </r>
  <r>
    <x v="50"/>
    <x v="13"/>
    <x v="42"/>
    <x v="36"/>
    <x v="6"/>
    <x v="39"/>
  </r>
  <r>
    <x v="50"/>
    <x v="13"/>
    <x v="44"/>
    <x v="34"/>
    <x v="7"/>
    <x v="40"/>
  </r>
  <r>
    <x v="50"/>
    <x v="13"/>
    <x v="27"/>
    <x v="31"/>
    <x v="20"/>
    <x v="60"/>
  </r>
  <r>
    <x v="50"/>
    <x v="13"/>
    <x v="34"/>
    <x v="28"/>
    <x v="8"/>
    <x v="41"/>
  </r>
  <r>
    <x v="50"/>
    <x v="13"/>
    <x v="7"/>
    <x v="7"/>
    <x v="16"/>
    <x v="30"/>
  </r>
  <r>
    <x v="50"/>
    <x v="13"/>
    <x v="6"/>
    <x v="6"/>
    <x v="18"/>
    <x v="24"/>
  </r>
  <r>
    <x v="50"/>
    <x v="13"/>
    <x v="9"/>
    <x v="10"/>
    <x v="18"/>
    <x v="24"/>
  </r>
  <r>
    <x v="50"/>
    <x v="13"/>
    <x v="5"/>
    <x v="5"/>
    <x v="16"/>
    <x v="15"/>
  </r>
  <r>
    <x v="50"/>
    <x v="13"/>
    <x v="17"/>
    <x v="19"/>
    <x v="16"/>
    <x v="20"/>
  </r>
  <r>
    <x v="50"/>
    <x v="13"/>
    <x v="49"/>
    <x v="50"/>
    <x v="16"/>
    <x v="19"/>
  </r>
  <r>
    <x v="52"/>
    <x v="13"/>
    <x v="10"/>
    <x v="11"/>
    <x v="22"/>
    <x v="45"/>
  </r>
  <r>
    <x v="52"/>
    <x v="13"/>
    <x v="7"/>
    <x v="7"/>
    <x v="22"/>
    <x v="45"/>
  </r>
  <r>
    <x v="52"/>
    <x v="13"/>
    <x v="33"/>
    <x v="42"/>
    <x v="22"/>
    <x v="30"/>
  </r>
  <r>
    <x v="52"/>
    <x v="13"/>
    <x v="39"/>
    <x v="13"/>
    <x v="22"/>
    <x v="45"/>
  </r>
  <r>
    <x v="2"/>
    <x v="13"/>
    <x v="14"/>
    <x v="21"/>
    <x v="36"/>
    <x v="72"/>
  </r>
  <r>
    <x v="10"/>
    <x v="13"/>
    <x v="10"/>
    <x v="11"/>
    <x v="22"/>
    <x v="45"/>
  </r>
  <r>
    <x v="10"/>
    <x v="13"/>
    <x v="7"/>
    <x v="7"/>
    <x v="22"/>
    <x v="45"/>
  </r>
  <r>
    <x v="10"/>
    <x v="13"/>
    <x v="39"/>
    <x v="13"/>
    <x v="22"/>
    <x v="45"/>
  </r>
  <r>
    <x v="10"/>
    <x v="13"/>
    <x v="5"/>
    <x v="5"/>
    <x v="25"/>
    <x v="28"/>
  </r>
  <r>
    <x v="10"/>
    <x v="13"/>
    <x v="49"/>
    <x v="50"/>
    <x v="25"/>
    <x v="33"/>
  </r>
  <r>
    <x v="10"/>
    <x v="13"/>
    <x v="33"/>
    <x v="42"/>
    <x v="18"/>
    <x v="24"/>
  </r>
  <r>
    <x v="10"/>
    <x v="13"/>
    <x v="20"/>
    <x v="26"/>
    <x v="22"/>
    <x v="30"/>
  </r>
  <r>
    <x v="10"/>
    <x v="13"/>
    <x v="41"/>
    <x v="37"/>
    <x v="25"/>
    <x v="42"/>
  </r>
  <r>
    <x v="10"/>
    <x v="13"/>
    <x v="28"/>
    <x v="38"/>
    <x v="18"/>
    <x v="24"/>
  </r>
  <r>
    <x v="21"/>
    <x v="13"/>
    <x v="26"/>
    <x v="33"/>
    <x v="34"/>
    <x v="64"/>
  </r>
  <r>
    <x v="21"/>
    <x v="13"/>
    <x v="16"/>
    <x v="17"/>
    <x v="2"/>
    <x v="49"/>
  </r>
  <r>
    <x v="21"/>
    <x v="13"/>
    <x v="20"/>
    <x v="26"/>
    <x v="12"/>
    <x v="19"/>
  </r>
  <r>
    <x v="21"/>
    <x v="13"/>
    <x v="49"/>
    <x v="50"/>
    <x v="16"/>
    <x v="19"/>
  </r>
  <r>
    <x v="8"/>
    <x v="13"/>
    <x v="10"/>
    <x v="11"/>
    <x v="1"/>
    <x v="7"/>
  </r>
  <r>
    <x v="8"/>
    <x v="13"/>
    <x v="11"/>
    <x v="12"/>
    <x v="1"/>
    <x v="11"/>
  </r>
  <r>
    <x v="8"/>
    <x v="13"/>
    <x v="7"/>
    <x v="7"/>
    <x v="1"/>
    <x v="7"/>
  </r>
  <r>
    <x v="8"/>
    <x v="13"/>
    <x v="8"/>
    <x v="8"/>
    <x v="1"/>
    <x v="11"/>
  </r>
  <r>
    <x v="8"/>
    <x v="13"/>
    <x v="54"/>
    <x v="54"/>
    <x v="12"/>
    <x v="19"/>
  </r>
  <r>
    <x v="8"/>
    <x v="13"/>
    <x v="32"/>
    <x v="41"/>
    <x v="2"/>
    <x v="10"/>
  </r>
  <r>
    <x v="8"/>
    <x v="13"/>
    <x v="49"/>
    <x v="50"/>
    <x v="1"/>
    <x v="1"/>
  </r>
  <r>
    <x v="8"/>
    <x v="13"/>
    <x v="26"/>
    <x v="33"/>
    <x v="1"/>
    <x v="10"/>
  </r>
  <r>
    <x v="8"/>
    <x v="13"/>
    <x v="1"/>
    <x v="0"/>
    <x v="1"/>
    <x v="3"/>
  </r>
  <r>
    <x v="8"/>
    <x v="13"/>
    <x v="41"/>
    <x v="37"/>
    <x v="1"/>
    <x v="3"/>
  </r>
  <r>
    <x v="8"/>
    <x v="13"/>
    <x v="39"/>
    <x v="13"/>
    <x v="1"/>
    <x v="7"/>
  </r>
  <r>
    <x v="8"/>
    <x v="13"/>
    <x v="35"/>
    <x v="29"/>
    <x v="1"/>
    <x v="3"/>
  </r>
  <r>
    <x v="27"/>
    <x v="13"/>
    <x v="10"/>
    <x v="11"/>
    <x v="24"/>
    <x v="49"/>
  </r>
  <r>
    <x v="27"/>
    <x v="13"/>
    <x v="11"/>
    <x v="12"/>
    <x v="12"/>
    <x v="33"/>
  </r>
  <r>
    <x v="27"/>
    <x v="13"/>
    <x v="17"/>
    <x v="19"/>
    <x v="24"/>
    <x v="33"/>
  </r>
  <r>
    <x v="27"/>
    <x v="13"/>
    <x v="15"/>
    <x v="16"/>
    <x v="9"/>
    <x v="15"/>
  </r>
  <r>
    <x v="27"/>
    <x v="13"/>
    <x v="54"/>
    <x v="54"/>
    <x v="16"/>
    <x v="21"/>
  </r>
  <r>
    <x v="27"/>
    <x v="13"/>
    <x v="49"/>
    <x v="50"/>
    <x v="12"/>
    <x v="16"/>
  </r>
  <r>
    <x v="27"/>
    <x v="13"/>
    <x v="23"/>
    <x v="24"/>
    <x v="18"/>
    <x v="24"/>
  </r>
  <r>
    <x v="27"/>
    <x v="13"/>
    <x v="26"/>
    <x v="33"/>
    <x v="18"/>
    <x v="42"/>
  </r>
  <r>
    <x v="42"/>
    <x v="14"/>
    <x v="27"/>
    <x v="31"/>
    <x v="41"/>
    <x v="75"/>
  </r>
  <r>
    <x v="47"/>
    <x v="14"/>
    <x v="24"/>
    <x v="23"/>
    <x v="30"/>
    <x v="66"/>
  </r>
  <r>
    <x v="15"/>
    <x v="14"/>
    <x v="8"/>
    <x v="8"/>
    <x v="22"/>
    <x v="54"/>
  </r>
  <r>
    <x v="15"/>
    <x v="14"/>
    <x v="5"/>
    <x v="5"/>
    <x v="24"/>
    <x v="24"/>
  </r>
  <r>
    <x v="15"/>
    <x v="14"/>
    <x v="30"/>
    <x v="40"/>
    <x v="16"/>
    <x v="27"/>
  </r>
  <r>
    <x v="15"/>
    <x v="14"/>
    <x v="21"/>
    <x v="27"/>
    <x v="24"/>
    <x v="42"/>
  </r>
  <r>
    <x v="15"/>
    <x v="14"/>
    <x v="23"/>
    <x v="24"/>
    <x v="24"/>
    <x v="34"/>
  </r>
  <r>
    <x v="19"/>
    <x v="14"/>
    <x v="11"/>
    <x v="12"/>
    <x v="16"/>
    <x v="42"/>
  </r>
  <r>
    <x v="19"/>
    <x v="14"/>
    <x v="49"/>
    <x v="50"/>
    <x v="1"/>
    <x v="1"/>
  </r>
  <r>
    <x v="19"/>
    <x v="14"/>
    <x v="28"/>
    <x v="38"/>
    <x v="1"/>
    <x v="3"/>
  </r>
  <r>
    <x v="31"/>
    <x v="15"/>
    <x v="8"/>
    <x v="8"/>
    <x v="2"/>
    <x v="20"/>
  </r>
  <r>
    <x v="31"/>
    <x v="15"/>
    <x v="49"/>
    <x v="50"/>
    <x v="2"/>
    <x v="7"/>
  </r>
  <r>
    <x v="31"/>
    <x v="15"/>
    <x v="5"/>
    <x v="5"/>
    <x v="9"/>
    <x v="8"/>
  </r>
  <r>
    <x v="16"/>
    <x v="15"/>
    <x v="27"/>
    <x v="31"/>
    <x v="33"/>
    <x v="69"/>
  </r>
  <r>
    <x v="15"/>
    <x v="15"/>
    <x v="10"/>
    <x v="11"/>
    <x v="24"/>
    <x v="49"/>
  </r>
  <r>
    <x v="15"/>
    <x v="15"/>
    <x v="11"/>
    <x v="12"/>
    <x v="24"/>
    <x v="58"/>
  </r>
  <r>
    <x v="15"/>
    <x v="15"/>
    <x v="43"/>
    <x v="35"/>
    <x v="9"/>
    <x v="17"/>
  </r>
  <r>
    <x v="15"/>
    <x v="15"/>
    <x v="35"/>
    <x v="29"/>
    <x v="16"/>
    <x v="21"/>
  </r>
  <r>
    <x v="15"/>
    <x v="15"/>
    <x v="39"/>
    <x v="13"/>
    <x v="16"/>
    <x v="30"/>
  </r>
  <r>
    <x v="15"/>
    <x v="15"/>
    <x v="40"/>
    <x v="14"/>
    <x v="24"/>
    <x v="58"/>
  </r>
  <r>
    <x v="15"/>
    <x v="15"/>
    <x v="17"/>
    <x v="19"/>
    <x v="24"/>
    <x v="33"/>
  </r>
  <r>
    <x v="15"/>
    <x v="15"/>
    <x v="30"/>
    <x v="40"/>
    <x v="2"/>
    <x v="14"/>
  </r>
  <r>
    <x v="15"/>
    <x v="15"/>
    <x v="54"/>
    <x v="54"/>
    <x v="24"/>
    <x v="34"/>
  </r>
  <r>
    <x v="15"/>
    <x v="15"/>
    <x v="46"/>
    <x v="47"/>
    <x v="16"/>
    <x v="21"/>
  </r>
  <r>
    <x v="15"/>
    <x v="15"/>
    <x v="49"/>
    <x v="50"/>
    <x v="24"/>
    <x v="30"/>
  </r>
  <r>
    <x v="0"/>
    <x v="15"/>
    <x v="30"/>
    <x v="40"/>
    <x v="16"/>
    <x v="27"/>
  </r>
  <r>
    <x v="0"/>
    <x v="15"/>
    <x v="20"/>
    <x v="26"/>
    <x v="16"/>
    <x v="21"/>
  </r>
  <r>
    <x v="0"/>
    <x v="15"/>
    <x v="49"/>
    <x v="50"/>
    <x v="37"/>
    <x v="58"/>
  </r>
  <r>
    <x v="0"/>
    <x v="15"/>
    <x v="50"/>
    <x v="52"/>
    <x v="16"/>
    <x v="34"/>
  </r>
  <r>
    <x v="0"/>
    <x v="15"/>
    <x v="33"/>
    <x v="42"/>
    <x v="34"/>
    <x v="56"/>
  </r>
  <r>
    <x v="0"/>
    <x v="15"/>
    <x v="5"/>
    <x v="5"/>
    <x v="22"/>
    <x v="20"/>
  </r>
  <r>
    <x v="0"/>
    <x v="15"/>
    <x v="26"/>
    <x v="33"/>
    <x v="22"/>
    <x v="49"/>
  </r>
  <r>
    <x v="0"/>
    <x v="15"/>
    <x v="23"/>
    <x v="24"/>
    <x v="27"/>
    <x v="48"/>
  </r>
  <r>
    <x v="0"/>
    <x v="15"/>
    <x v="54"/>
    <x v="54"/>
    <x v="24"/>
    <x v="34"/>
  </r>
  <r>
    <x v="0"/>
    <x v="15"/>
    <x v="7"/>
    <x v="7"/>
    <x v="22"/>
    <x v="45"/>
  </r>
  <r>
    <x v="0"/>
    <x v="15"/>
    <x v="8"/>
    <x v="8"/>
    <x v="22"/>
    <x v="54"/>
  </r>
  <r>
    <x v="0"/>
    <x v="15"/>
    <x v="9"/>
    <x v="10"/>
    <x v="18"/>
    <x v="24"/>
  </r>
  <r>
    <x v="0"/>
    <x v="15"/>
    <x v="10"/>
    <x v="11"/>
    <x v="18"/>
    <x v="33"/>
  </r>
  <r>
    <x v="0"/>
    <x v="15"/>
    <x v="11"/>
    <x v="12"/>
    <x v="18"/>
    <x v="47"/>
  </r>
  <r>
    <x v="30"/>
    <x v="0"/>
    <x v="18"/>
    <x v="18"/>
    <x v="34"/>
    <x v="80"/>
  </r>
  <r>
    <x v="30"/>
    <x v="6"/>
    <x v="18"/>
    <x v="18"/>
    <x v="34"/>
    <x v="80"/>
  </r>
  <r>
    <x v="30"/>
    <x v="9"/>
    <x v="18"/>
    <x v="18"/>
    <x v="27"/>
    <x v="79"/>
  </r>
  <r>
    <x v="30"/>
    <x v="11"/>
    <x v="18"/>
    <x v="18"/>
    <x v="34"/>
    <x v="80"/>
  </r>
  <r>
    <x v="30"/>
    <x v="16"/>
    <x v="18"/>
    <x v="18"/>
    <x v="34"/>
    <x v="80"/>
  </r>
  <r>
    <x v="48"/>
    <x v="16"/>
    <x v="17"/>
    <x v="19"/>
    <x v="12"/>
    <x v="18"/>
  </r>
  <r>
    <x v="48"/>
    <x v="16"/>
    <x v="48"/>
    <x v="49"/>
    <x v="24"/>
    <x v="19"/>
  </r>
  <r>
    <x v="48"/>
    <x v="16"/>
    <x v="38"/>
    <x v="44"/>
    <x v="4"/>
    <x v="36"/>
  </r>
  <r>
    <x v="48"/>
    <x v="16"/>
    <x v="7"/>
    <x v="7"/>
    <x v="12"/>
    <x v="25"/>
  </r>
  <r>
    <x v="39"/>
    <x v="16"/>
    <x v="7"/>
    <x v="7"/>
    <x v="2"/>
    <x v="16"/>
  </r>
  <r>
    <x v="39"/>
    <x v="16"/>
    <x v="39"/>
    <x v="13"/>
    <x v="2"/>
    <x v="16"/>
  </r>
  <r>
    <x v="39"/>
    <x v="16"/>
    <x v="17"/>
    <x v="19"/>
    <x v="2"/>
    <x v="9"/>
  </r>
  <r>
    <x v="39"/>
    <x v="16"/>
    <x v="49"/>
    <x v="50"/>
    <x v="2"/>
    <x v="7"/>
  </r>
  <r>
    <x v="39"/>
    <x v="16"/>
    <x v="21"/>
    <x v="27"/>
    <x v="2"/>
    <x v="11"/>
  </r>
  <r>
    <x v="39"/>
    <x v="16"/>
    <x v="36"/>
    <x v="30"/>
    <x v="2"/>
    <x v="11"/>
  </r>
  <r>
    <x v="24"/>
    <x v="17"/>
    <x v="54"/>
    <x v="54"/>
    <x v="16"/>
    <x v="21"/>
  </r>
  <r>
    <x v="24"/>
    <x v="17"/>
    <x v="15"/>
    <x v="16"/>
    <x v="1"/>
    <x v="3"/>
  </r>
  <r>
    <x v="24"/>
    <x v="17"/>
    <x v="16"/>
    <x v="17"/>
    <x v="1"/>
    <x v="30"/>
  </r>
  <r>
    <x v="50"/>
    <x v="18"/>
    <x v="22"/>
    <x v="25"/>
    <x v="13"/>
    <x v="51"/>
  </r>
  <r>
    <x v="50"/>
    <x v="18"/>
    <x v="7"/>
    <x v="7"/>
    <x v="16"/>
    <x v="30"/>
  </r>
  <r>
    <x v="50"/>
    <x v="18"/>
    <x v="10"/>
    <x v="11"/>
    <x v="16"/>
    <x v="30"/>
  </r>
  <r>
    <x v="50"/>
    <x v="18"/>
    <x v="15"/>
    <x v="16"/>
    <x v="16"/>
    <x v="21"/>
  </r>
  <r>
    <x v="50"/>
    <x v="18"/>
    <x v="17"/>
    <x v="19"/>
    <x v="16"/>
    <x v="20"/>
  </r>
  <r>
    <x v="50"/>
    <x v="18"/>
    <x v="19"/>
    <x v="20"/>
    <x v="16"/>
    <x v="32"/>
  </r>
  <r>
    <x v="19"/>
    <x v="18"/>
    <x v="11"/>
    <x v="12"/>
    <x v="24"/>
    <x v="58"/>
  </r>
  <r>
    <x v="0"/>
    <x v="18"/>
    <x v="9"/>
    <x v="10"/>
    <x v="18"/>
    <x v="24"/>
  </r>
  <r>
    <x v="0"/>
    <x v="18"/>
    <x v="7"/>
    <x v="7"/>
    <x v="16"/>
    <x v="30"/>
  </r>
  <r>
    <x v="0"/>
    <x v="18"/>
    <x v="15"/>
    <x v="16"/>
    <x v="28"/>
    <x v="49"/>
  </r>
  <r>
    <x v="0"/>
    <x v="18"/>
    <x v="17"/>
    <x v="19"/>
    <x v="24"/>
    <x v="33"/>
  </r>
  <r>
    <x v="0"/>
    <x v="18"/>
    <x v="54"/>
    <x v="54"/>
    <x v="24"/>
    <x v="34"/>
  </r>
  <r>
    <x v="0"/>
    <x v="18"/>
    <x v="33"/>
    <x v="42"/>
    <x v="34"/>
    <x v="54"/>
  </r>
  <r>
    <x v="0"/>
    <x v="18"/>
    <x v="49"/>
    <x v="50"/>
    <x v="37"/>
    <x v="58"/>
  </r>
  <r>
    <x v="0"/>
    <x v="18"/>
    <x v="50"/>
    <x v="52"/>
    <x v="12"/>
    <x v="30"/>
  </r>
  <r>
    <x v="0"/>
    <x v="18"/>
    <x v="20"/>
    <x v="26"/>
    <x v="18"/>
    <x v="24"/>
  </r>
  <r>
    <x v="0"/>
    <x v="18"/>
    <x v="30"/>
    <x v="40"/>
    <x v="2"/>
    <x v="13"/>
  </r>
  <r>
    <x v="7"/>
    <x v="18"/>
    <x v="2"/>
    <x v="2"/>
    <x v="21"/>
    <x v="31"/>
  </r>
  <r>
    <x v="7"/>
    <x v="18"/>
    <x v="54"/>
    <x v="54"/>
    <x v="22"/>
    <x v="30"/>
  </r>
  <r>
    <x v="7"/>
    <x v="18"/>
    <x v="30"/>
    <x v="40"/>
    <x v="2"/>
    <x v="13"/>
  </r>
  <r>
    <x v="6"/>
    <x v="18"/>
    <x v="26"/>
    <x v="33"/>
    <x v="34"/>
    <x v="64"/>
  </r>
  <r>
    <x v="6"/>
    <x v="18"/>
    <x v="0"/>
    <x v="1"/>
    <x v="24"/>
    <x v="64"/>
  </r>
  <r>
    <x v="6"/>
    <x v="18"/>
    <x v="29"/>
    <x v="39"/>
    <x v="18"/>
    <x v="42"/>
  </r>
  <r>
    <x v="24"/>
    <x v="18"/>
    <x v="17"/>
    <x v="19"/>
    <x v="27"/>
    <x v="47"/>
  </r>
  <r>
    <x v="24"/>
    <x v="18"/>
    <x v="54"/>
    <x v="54"/>
    <x v="24"/>
    <x v="34"/>
  </r>
  <r>
    <x v="24"/>
    <x v="18"/>
    <x v="2"/>
    <x v="2"/>
    <x v="18"/>
    <x v="29"/>
  </r>
  <r>
    <x v="24"/>
    <x v="18"/>
    <x v="15"/>
    <x v="16"/>
    <x v="9"/>
    <x v="15"/>
  </r>
  <r>
    <x v="34"/>
    <x v="18"/>
    <x v="33"/>
    <x v="42"/>
    <x v="1"/>
    <x v="2"/>
  </r>
  <r>
    <x v="34"/>
    <x v="18"/>
    <x v="32"/>
    <x v="41"/>
    <x v="1"/>
    <x v="3"/>
  </r>
  <r>
    <x v="34"/>
    <x v="18"/>
    <x v="2"/>
    <x v="2"/>
    <x v="2"/>
    <x v="12"/>
  </r>
  <r>
    <x v="34"/>
    <x v="18"/>
    <x v="9"/>
    <x v="10"/>
    <x v="1"/>
    <x v="3"/>
  </r>
  <r>
    <x v="34"/>
    <x v="18"/>
    <x v="6"/>
    <x v="6"/>
    <x v="1"/>
    <x v="3"/>
  </r>
  <r>
    <x v="34"/>
    <x v="18"/>
    <x v="17"/>
    <x v="19"/>
    <x v="1"/>
    <x v="2"/>
  </r>
  <r>
    <x v="34"/>
    <x v="18"/>
    <x v="5"/>
    <x v="5"/>
    <x v="1"/>
    <x v="0"/>
  </r>
  <r>
    <x v="46"/>
    <x v="18"/>
    <x v="53"/>
    <x v="53"/>
    <x v="43"/>
    <x v="77"/>
  </r>
  <r>
    <x v="12"/>
    <x v="18"/>
    <x v="21"/>
    <x v="27"/>
    <x v="1"/>
    <x v="4"/>
  </r>
  <r>
    <x v="12"/>
    <x v="18"/>
    <x v="13"/>
    <x v="15"/>
    <x v="9"/>
    <x v="15"/>
  </r>
  <r>
    <x v="12"/>
    <x v="18"/>
    <x v="31"/>
    <x v="22"/>
    <x v="1"/>
    <x v="3"/>
  </r>
  <r>
    <x v="38"/>
    <x v="19"/>
    <x v="8"/>
    <x v="8"/>
    <x v="25"/>
    <x v="63"/>
  </r>
  <r>
    <x v="38"/>
    <x v="19"/>
    <x v="11"/>
    <x v="12"/>
    <x v="25"/>
    <x v="63"/>
  </r>
  <r>
    <x v="38"/>
    <x v="19"/>
    <x v="17"/>
    <x v="19"/>
    <x v="25"/>
    <x v="37"/>
  </r>
  <r>
    <x v="18"/>
    <x v="19"/>
    <x v="10"/>
    <x v="11"/>
    <x v="18"/>
    <x v="33"/>
  </r>
  <r>
    <x v="18"/>
    <x v="19"/>
    <x v="9"/>
    <x v="10"/>
    <x v="2"/>
    <x v="10"/>
  </r>
  <r>
    <x v="18"/>
    <x v="19"/>
    <x v="7"/>
    <x v="7"/>
    <x v="18"/>
    <x v="33"/>
  </r>
  <r>
    <x v="18"/>
    <x v="19"/>
    <x v="6"/>
    <x v="6"/>
    <x v="2"/>
    <x v="10"/>
  </r>
  <r>
    <x v="18"/>
    <x v="19"/>
    <x v="17"/>
    <x v="19"/>
    <x v="18"/>
    <x v="23"/>
  </r>
  <r>
    <x v="18"/>
    <x v="19"/>
    <x v="15"/>
    <x v="16"/>
    <x v="2"/>
    <x v="10"/>
  </r>
  <r>
    <x v="18"/>
    <x v="19"/>
    <x v="19"/>
    <x v="20"/>
    <x v="2"/>
    <x v="12"/>
  </r>
  <r>
    <x v="18"/>
    <x v="19"/>
    <x v="54"/>
    <x v="54"/>
    <x v="18"/>
    <x v="24"/>
  </r>
  <r>
    <x v="18"/>
    <x v="19"/>
    <x v="2"/>
    <x v="2"/>
    <x v="18"/>
    <x v="29"/>
  </r>
  <r>
    <x v="18"/>
    <x v="19"/>
    <x v="32"/>
    <x v="41"/>
    <x v="2"/>
    <x v="10"/>
  </r>
  <r>
    <x v="18"/>
    <x v="19"/>
    <x v="5"/>
    <x v="5"/>
    <x v="2"/>
    <x v="4"/>
  </r>
  <r>
    <x v="18"/>
    <x v="19"/>
    <x v="26"/>
    <x v="33"/>
    <x v="12"/>
    <x v="30"/>
  </r>
  <r>
    <x v="18"/>
    <x v="19"/>
    <x v="30"/>
    <x v="40"/>
    <x v="12"/>
    <x v="22"/>
  </r>
  <r>
    <x v="18"/>
    <x v="19"/>
    <x v="39"/>
    <x v="13"/>
    <x v="12"/>
    <x v="25"/>
  </r>
  <r>
    <x v="31"/>
    <x v="18"/>
    <x v="49"/>
    <x v="50"/>
    <x v="16"/>
    <x v="19"/>
  </r>
  <r>
    <x v="31"/>
    <x v="18"/>
    <x v="5"/>
    <x v="5"/>
    <x v="9"/>
    <x v="8"/>
  </r>
  <r>
    <x v="42"/>
    <x v="19"/>
    <x v="27"/>
    <x v="31"/>
    <x v="38"/>
    <x v="74"/>
  </r>
  <r>
    <x v="16"/>
    <x v="19"/>
    <x v="27"/>
    <x v="31"/>
    <x v="32"/>
    <x v="68"/>
  </r>
  <r>
    <x v="25"/>
    <x v="19"/>
    <x v="11"/>
    <x v="12"/>
    <x v="1"/>
    <x v="11"/>
  </r>
  <r>
    <x v="25"/>
    <x v="19"/>
    <x v="10"/>
    <x v="11"/>
    <x v="2"/>
    <x v="16"/>
  </r>
  <r>
    <x v="25"/>
    <x v="19"/>
    <x v="7"/>
    <x v="7"/>
    <x v="2"/>
    <x v="16"/>
  </r>
  <r>
    <x v="25"/>
    <x v="19"/>
    <x v="5"/>
    <x v="5"/>
    <x v="2"/>
    <x v="4"/>
  </r>
  <r>
    <x v="25"/>
    <x v="19"/>
    <x v="23"/>
    <x v="24"/>
    <x v="1"/>
    <x v="3"/>
  </r>
  <r>
    <x v="25"/>
    <x v="19"/>
    <x v="45"/>
    <x v="46"/>
    <x v="2"/>
    <x v="7"/>
  </r>
  <r>
    <x v="25"/>
    <x v="19"/>
    <x v="39"/>
    <x v="13"/>
    <x v="2"/>
    <x v="16"/>
  </r>
  <r>
    <x v="45"/>
    <x v="19"/>
    <x v="26"/>
    <x v="33"/>
    <x v="22"/>
    <x v="49"/>
  </r>
  <r>
    <x v="3"/>
    <x v="20"/>
    <x v="10"/>
    <x v="11"/>
    <x v="12"/>
    <x v="25"/>
  </r>
  <r>
    <x v="3"/>
    <x v="20"/>
    <x v="26"/>
    <x v="33"/>
    <x v="2"/>
    <x v="19"/>
  </r>
  <r>
    <x v="3"/>
    <x v="20"/>
    <x v="21"/>
    <x v="27"/>
    <x v="2"/>
    <x v="11"/>
  </r>
  <r>
    <x v="3"/>
    <x v="20"/>
    <x v="25"/>
    <x v="32"/>
    <x v="2"/>
    <x v="10"/>
  </r>
  <r>
    <x v="51"/>
    <x v="20"/>
    <x v="17"/>
    <x v="19"/>
    <x v="22"/>
    <x v="29"/>
  </r>
  <r>
    <x v="51"/>
    <x v="20"/>
    <x v="5"/>
    <x v="5"/>
    <x v="18"/>
    <x v="17"/>
  </r>
  <r>
    <x v="51"/>
    <x v="20"/>
    <x v="33"/>
    <x v="42"/>
    <x v="18"/>
    <x v="23"/>
  </r>
  <r>
    <x v="51"/>
    <x v="20"/>
    <x v="49"/>
    <x v="50"/>
    <x v="18"/>
    <x v="20"/>
  </r>
  <r>
    <x v="24"/>
    <x v="20"/>
    <x v="2"/>
    <x v="2"/>
    <x v="9"/>
    <x v="18"/>
  </r>
  <r>
    <x v="24"/>
    <x v="20"/>
    <x v="17"/>
    <x v="19"/>
    <x v="2"/>
    <x v="9"/>
  </r>
  <r>
    <x v="24"/>
    <x v="20"/>
    <x v="5"/>
    <x v="5"/>
    <x v="1"/>
    <x v="0"/>
  </r>
  <r>
    <x v="24"/>
    <x v="20"/>
    <x v="54"/>
    <x v="54"/>
    <x v="18"/>
    <x v="24"/>
  </r>
  <r>
    <x v="24"/>
    <x v="20"/>
    <x v="16"/>
    <x v="17"/>
    <x v="0"/>
    <x v="19"/>
  </r>
  <r>
    <x v="34"/>
    <x v="20"/>
    <x v="17"/>
    <x v="19"/>
    <x v="2"/>
    <x v="9"/>
  </r>
  <r>
    <x v="34"/>
    <x v="20"/>
    <x v="8"/>
    <x v="8"/>
    <x v="1"/>
    <x v="11"/>
  </r>
  <r>
    <x v="41"/>
    <x v="20"/>
    <x v="12"/>
    <x v="9"/>
    <x v="16"/>
    <x v="56"/>
  </r>
  <r>
    <x v="17"/>
    <x v="20"/>
    <x v="12"/>
    <x v="9"/>
    <x v="27"/>
    <x v="65"/>
  </r>
  <r>
    <x v="17"/>
    <x v="20"/>
    <x v="26"/>
    <x v="33"/>
    <x v="22"/>
    <x v="49"/>
  </r>
  <r>
    <x v="17"/>
    <x v="20"/>
    <x v="47"/>
    <x v="48"/>
    <x v="25"/>
    <x v="58"/>
  </r>
  <r>
    <x v="17"/>
    <x v="20"/>
    <x v="16"/>
    <x v="17"/>
    <x v="39"/>
    <x v="78"/>
  </r>
  <r>
    <x v="17"/>
    <x v="20"/>
    <x v="28"/>
    <x v="38"/>
    <x v="12"/>
    <x v="19"/>
  </r>
  <r>
    <x v="22"/>
    <x v="20"/>
    <x v="47"/>
    <x v="48"/>
    <x v="44"/>
    <x v="73"/>
  </r>
  <r>
    <x v="44"/>
    <x v="20"/>
    <x v="50"/>
    <x v="52"/>
    <x v="16"/>
    <x v="34"/>
  </r>
  <r>
    <x v="27"/>
    <x v="21"/>
    <x v="7"/>
    <x v="7"/>
    <x v="18"/>
    <x v="33"/>
  </r>
  <r>
    <x v="27"/>
    <x v="21"/>
    <x v="26"/>
    <x v="33"/>
    <x v="18"/>
    <x v="42"/>
  </r>
  <r>
    <x v="27"/>
    <x v="21"/>
    <x v="5"/>
    <x v="5"/>
    <x v="18"/>
    <x v="17"/>
  </r>
  <r>
    <x v="27"/>
    <x v="21"/>
    <x v="10"/>
    <x v="11"/>
    <x v="29"/>
    <x v="63"/>
  </r>
  <r>
    <x v="27"/>
    <x v="21"/>
    <x v="33"/>
    <x v="42"/>
    <x v="12"/>
    <x v="18"/>
  </r>
  <r>
    <x v="31"/>
    <x v="21"/>
    <x v="17"/>
    <x v="19"/>
    <x v="2"/>
    <x v="9"/>
  </r>
  <r>
    <x v="31"/>
    <x v="21"/>
    <x v="5"/>
    <x v="5"/>
    <x v="16"/>
    <x v="15"/>
  </r>
  <r>
    <x v="15"/>
    <x v="21"/>
    <x v="11"/>
    <x v="12"/>
    <x v="12"/>
    <x v="33"/>
  </r>
  <r>
    <x v="15"/>
    <x v="21"/>
    <x v="8"/>
    <x v="8"/>
    <x v="21"/>
    <x v="50"/>
  </r>
  <r>
    <x v="15"/>
    <x v="21"/>
    <x v="7"/>
    <x v="7"/>
    <x v="18"/>
    <x v="33"/>
  </r>
  <r>
    <x v="15"/>
    <x v="21"/>
    <x v="2"/>
    <x v="2"/>
    <x v="24"/>
    <x v="45"/>
  </r>
  <r>
    <x v="15"/>
    <x v="21"/>
    <x v="54"/>
    <x v="54"/>
    <x v="23"/>
    <x v="32"/>
  </r>
  <r>
    <x v="15"/>
    <x v="21"/>
    <x v="17"/>
    <x v="19"/>
    <x v="24"/>
    <x v="33"/>
  </r>
  <r>
    <x v="15"/>
    <x v="21"/>
    <x v="15"/>
    <x v="16"/>
    <x v="9"/>
    <x v="15"/>
  </r>
  <r>
    <x v="15"/>
    <x v="21"/>
    <x v="5"/>
    <x v="5"/>
    <x v="24"/>
    <x v="24"/>
  </r>
  <r>
    <x v="15"/>
    <x v="21"/>
    <x v="33"/>
    <x v="42"/>
    <x v="18"/>
    <x v="23"/>
  </r>
  <r>
    <x v="15"/>
    <x v="21"/>
    <x v="49"/>
    <x v="50"/>
    <x v="16"/>
    <x v="19"/>
  </r>
  <r>
    <x v="15"/>
    <x v="21"/>
    <x v="45"/>
    <x v="46"/>
    <x v="24"/>
    <x v="30"/>
  </r>
  <r>
    <x v="15"/>
    <x v="21"/>
    <x v="21"/>
    <x v="27"/>
    <x v="24"/>
    <x v="42"/>
  </r>
  <r>
    <x v="15"/>
    <x v="21"/>
    <x v="23"/>
    <x v="24"/>
    <x v="9"/>
    <x v="15"/>
  </r>
  <r>
    <x v="15"/>
    <x v="21"/>
    <x v="41"/>
    <x v="37"/>
    <x v="1"/>
    <x v="3"/>
  </r>
  <r>
    <x v="15"/>
    <x v="21"/>
    <x v="43"/>
    <x v="35"/>
    <x v="12"/>
    <x v="20"/>
  </r>
  <r>
    <x v="15"/>
    <x v="21"/>
    <x v="35"/>
    <x v="29"/>
    <x v="9"/>
    <x v="15"/>
  </r>
  <r>
    <x v="15"/>
    <x v="18"/>
    <x v="45"/>
    <x v="46"/>
    <x v="16"/>
    <x v="19"/>
  </r>
  <r>
    <x v="15"/>
    <x v="18"/>
    <x v="19"/>
    <x v="20"/>
    <x v="24"/>
    <x v="52"/>
  </r>
  <r>
    <x v="15"/>
    <x v="18"/>
    <x v="30"/>
    <x v="40"/>
    <x v="16"/>
    <x v="26"/>
  </r>
  <r>
    <x v="54"/>
    <x v="21"/>
    <x v="27"/>
    <x v="31"/>
    <x v="11"/>
    <x v="46"/>
  </r>
  <r>
    <x v="54"/>
    <x v="21"/>
    <x v="54"/>
    <x v="54"/>
    <x v="1"/>
    <x v="3"/>
  </r>
  <r>
    <x v="35"/>
    <x v="21"/>
    <x v="39"/>
    <x v="13"/>
    <x v="1"/>
    <x v="7"/>
  </r>
  <r>
    <x v="35"/>
    <x v="21"/>
    <x v="40"/>
    <x v="14"/>
    <x v="1"/>
    <x v="11"/>
  </r>
  <r>
    <x v="33"/>
    <x v="21"/>
    <x v="20"/>
    <x v="26"/>
    <x v="2"/>
    <x v="10"/>
  </r>
  <r>
    <x v="33"/>
    <x v="21"/>
    <x v="35"/>
    <x v="29"/>
    <x v="2"/>
    <x v="10"/>
  </r>
  <r>
    <x v="0"/>
    <x v="22"/>
    <x v="26"/>
    <x v="33"/>
    <x v="26"/>
    <x v="61"/>
  </r>
  <r>
    <x v="0"/>
    <x v="22"/>
    <x v="49"/>
    <x v="50"/>
    <x v="37"/>
    <x v="58"/>
  </r>
  <r>
    <x v="0"/>
    <x v="22"/>
    <x v="50"/>
    <x v="52"/>
    <x v="22"/>
    <x v="49"/>
  </r>
  <r>
    <x v="0"/>
    <x v="22"/>
    <x v="23"/>
    <x v="24"/>
    <x v="25"/>
    <x v="42"/>
  </r>
  <r>
    <x v="0"/>
    <x v="22"/>
    <x v="54"/>
    <x v="54"/>
    <x v="25"/>
    <x v="42"/>
  </r>
  <r>
    <x v="0"/>
    <x v="22"/>
    <x v="9"/>
    <x v="10"/>
    <x v="22"/>
    <x v="30"/>
  </r>
  <r>
    <x v="0"/>
    <x v="22"/>
    <x v="20"/>
    <x v="26"/>
    <x v="25"/>
    <x v="42"/>
  </r>
  <r>
    <x v="0"/>
    <x v="22"/>
    <x v="33"/>
    <x v="42"/>
    <x v="24"/>
    <x v="33"/>
  </r>
  <r>
    <x v="0"/>
    <x v="22"/>
    <x v="5"/>
    <x v="5"/>
    <x v="12"/>
    <x v="11"/>
  </r>
  <r>
    <x v="0"/>
    <x v="22"/>
    <x v="8"/>
    <x v="8"/>
    <x v="18"/>
    <x v="47"/>
  </r>
  <r>
    <x v="37"/>
    <x v="22"/>
    <x v="8"/>
    <x v="8"/>
    <x v="1"/>
    <x v="11"/>
  </r>
  <r>
    <x v="37"/>
    <x v="22"/>
    <x v="11"/>
    <x v="12"/>
    <x v="1"/>
    <x v="11"/>
  </r>
  <r>
    <x v="37"/>
    <x v="22"/>
    <x v="2"/>
    <x v="2"/>
    <x v="1"/>
    <x v="5"/>
  </r>
  <r>
    <x v="37"/>
    <x v="22"/>
    <x v="49"/>
    <x v="50"/>
    <x v="2"/>
    <x v="7"/>
  </r>
  <r>
    <x v="37"/>
    <x v="22"/>
    <x v="17"/>
    <x v="19"/>
    <x v="2"/>
    <x v="9"/>
  </r>
  <r>
    <x v="43"/>
    <x v="22"/>
    <x v="34"/>
    <x v="28"/>
    <x v="17"/>
    <x v="5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02">
  <r>
    <x v="0"/>
    <x v="1"/>
    <x v="11"/>
    <x v="11"/>
    <x v="22"/>
    <x v="33"/>
  </r>
  <r>
    <x v="0"/>
    <x v="1"/>
    <x v="9"/>
    <x v="8"/>
    <x v="15"/>
    <x v="31"/>
  </r>
  <r>
    <x v="45"/>
    <x v="1"/>
    <x v="3"/>
    <x v="2"/>
    <x v="5"/>
    <x v="13"/>
  </r>
  <r>
    <x v="45"/>
    <x v="1"/>
    <x v="6"/>
    <x v="5"/>
    <x v="15"/>
    <x v="9"/>
  </r>
  <r>
    <x v="45"/>
    <x v="1"/>
    <x v="53"/>
    <x v="54"/>
    <x v="15"/>
    <x v="12"/>
  </r>
  <r>
    <x v="23"/>
    <x v="1"/>
    <x v="28"/>
    <x v="32"/>
    <x v="38"/>
    <x v="75"/>
  </r>
  <r>
    <x v="25"/>
    <x v="2"/>
    <x v="56"/>
    <x v="49"/>
    <x v="26"/>
    <x v="67"/>
  </r>
  <r>
    <x v="62"/>
    <x v="2"/>
    <x v="28"/>
    <x v="32"/>
    <x v="49"/>
    <x v="84"/>
  </r>
  <r>
    <x v="43"/>
    <x v="2"/>
    <x v="55"/>
    <x v="55"/>
    <x v="16"/>
    <x v="50"/>
  </r>
  <r>
    <x v="14"/>
    <x v="3"/>
    <x v="18"/>
    <x v="19"/>
    <x v="25"/>
    <x v="25"/>
  </r>
  <r>
    <x v="16"/>
    <x v="3"/>
    <x v="3"/>
    <x v="2"/>
    <x v="5"/>
    <x v="13"/>
  </r>
  <r>
    <x v="16"/>
    <x v="3"/>
    <x v="10"/>
    <x v="10"/>
    <x v="18"/>
    <x v="21"/>
  </r>
  <r>
    <x v="16"/>
    <x v="3"/>
    <x v="6"/>
    <x v="5"/>
    <x v="18"/>
    <x v="12"/>
  </r>
  <r>
    <x v="16"/>
    <x v="3"/>
    <x v="49"/>
    <x v="50"/>
    <x v="18"/>
    <x v="18"/>
  </r>
  <r>
    <x v="36"/>
    <x v="3"/>
    <x v="6"/>
    <x v="5"/>
    <x v="18"/>
    <x v="12"/>
  </r>
  <r>
    <x v="36"/>
    <x v="3"/>
    <x v="14"/>
    <x v="15"/>
    <x v="5"/>
    <x v="11"/>
  </r>
  <r>
    <x v="36"/>
    <x v="3"/>
    <x v="5"/>
    <x v="4"/>
    <x v="5"/>
    <x v="11"/>
  </r>
  <r>
    <x v="36"/>
    <x v="3"/>
    <x v="20"/>
    <x v="20"/>
    <x v="18"/>
    <x v="31"/>
  </r>
  <r>
    <x v="36"/>
    <x v="3"/>
    <x v="16"/>
    <x v="16"/>
    <x v="5"/>
    <x v="11"/>
  </r>
  <r>
    <x v="36"/>
    <x v="3"/>
    <x v="43"/>
    <x v="14"/>
    <x v="18"/>
    <x v="37"/>
  </r>
  <r>
    <x v="36"/>
    <x v="3"/>
    <x v="3"/>
    <x v="2"/>
    <x v="5"/>
    <x v="13"/>
  </r>
  <r>
    <x v="36"/>
    <x v="3"/>
    <x v="33"/>
    <x v="44"/>
    <x v="3"/>
    <x v="7"/>
  </r>
  <r>
    <x v="42"/>
    <x v="3"/>
    <x v="4"/>
    <x v="3"/>
    <x v="5"/>
    <x v="11"/>
  </r>
  <r>
    <x v="42"/>
    <x v="3"/>
    <x v="5"/>
    <x v="4"/>
    <x v="5"/>
    <x v="11"/>
  </r>
  <r>
    <x v="42"/>
    <x v="3"/>
    <x v="14"/>
    <x v="15"/>
    <x v="5"/>
    <x v="11"/>
  </r>
  <r>
    <x v="42"/>
    <x v="3"/>
    <x v="34"/>
    <x v="22"/>
    <x v="5"/>
    <x v="4"/>
  </r>
  <r>
    <x v="42"/>
    <x v="3"/>
    <x v="40"/>
    <x v="47"/>
    <x v="5"/>
    <x v="4"/>
  </r>
  <r>
    <x v="11"/>
    <x v="3"/>
    <x v="3"/>
    <x v="2"/>
    <x v="28"/>
    <x v="34"/>
  </r>
  <r>
    <x v="11"/>
    <x v="3"/>
    <x v="36"/>
    <x v="46"/>
    <x v="29"/>
    <x v="33"/>
  </r>
  <r>
    <x v="11"/>
    <x v="3"/>
    <x v="51"/>
    <x v="52"/>
    <x v="5"/>
    <x v="21"/>
  </r>
  <r>
    <x v="11"/>
    <x v="2"/>
    <x v="19"/>
    <x v="18"/>
    <x v="41"/>
    <x v="88"/>
  </r>
  <r>
    <x v="21"/>
    <x v="4"/>
    <x v="20"/>
    <x v="20"/>
    <x v="28"/>
    <x v="51"/>
  </r>
  <r>
    <x v="21"/>
    <x v="4"/>
    <x v="49"/>
    <x v="50"/>
    <x v="18"/>
    <x v="18"/>
  </r>
  <r>
    <x v="8"/>
    <x v="4"/>
    <x v="14"/>
    <x v="15"/>
    <x v="3"/>
    <x v="3"/>
  </r>
  <r>
    <x v="0"/>
    <x v="4"/>
    <x v="16"/>
    <x v="16"/>
    <x v="31"/>
    <x v="38"/>
  </r>
  <r>
    <x v="0"/>
    <x v="4"/>
    <x v="58"/>
    <x v="58"/>
    <x v="30"/>
    <x v="35"/>
  </r>
  <r>
    <x v="0"/>
    <x v="4"/>
    <x v="18"/>
    <x v="19"/>
    <x v="31"/>
    <x v="37"/>
  </r>
  <r>
    <x v="0"/>
    <x v="4"/>
    <x v="33"/>
    <x v="44"/>
    <x v="22"/>
    <x v="30"/>
  </r>
  <r>
    <x v="78"/>
    <x v="4"/>
    <x v="11"/>
    <x v="11"/>
    <x v="22"/>
    <x v="33"/>
  </r>
  <r>
    <x v="78"/>
    <x v="4"/>
    <x v="8"/>
    <x v="7"/>
    <x v="22"/>
    <x v="33"/>
  </r>
  <r>
    <x v="78"/>
    <x v="4"/>
    <x v="58"/>
    <x v="58"/>
    <x v="22"/>
    <x v="23"/>
  </r>
  <r>
    <x v="78"/>
    <x v="4"/>
    <x v="18"/>
    <x v="19"/>
    <x v="18"/>
    <x v="20"/>
  </r>
  <r>
    <x v="78"/>
    <x v="4"/>
    <x v="20"/>
    <x v="20"/>
    <x v="18"/>
    <x v="31"/>
  </r>
  <r>
    <x v="9"/>
    <x v="4"/>
    <x v="41"/>
    <x v="48"/>
    <x v="11"/>
    <x v="45"/>
  </r>
  <r>
    <x v="9"/>
    <x v="4"/>
    <x v="49"/>
    <x v="50"/>
    <x v="31"/>
    <x v="33"/>
  </r>
  <r>
    <x v="46"/>
    <x v="5"/>
    <x v="11"/>
    <x v="11"/>
    <x v="3"/>
    <x v="8"/>
  </r>
  <r>
    <x v="46"/>
    <x v="5"/>
    <x v="12"/>
    <x v="12"/>
    <x v="3"/>
    <x v="12"/>
  </r>
  <r>
    <x v="46"/>
    <x v="5"/>
    <x v="8"/>
    <x v="7"/>
    <x v="3"/>
    <x v="8"/>
  </r>
  <r>
    <x v="46"/>
    <x v="5"/>
    <x v="9"/>
    <x v="8"/>
    <x v="3"/>
    <x v="12"/>
  </r>
  <r>
    <x v="46"/>
    <x v="5"/>
    <x v="18"/>
    <x v="19"/>
    <x v="18"/>
    <x v="20"/>
  </r>
  <r>
    <x v="46"/>
    <x v="5"/>
    <x v="36"/>
    <x v="46"/>
    <x v="5"/>
    <x v="11"/>
  </r>
  <r>
    <x v="46"/>
    <x v="5"/>
    <x v="58"/>
    <x v="58"/>
    <x v="3"/>
    <x v="3"/>
  </r>
  <r>
    <x v="46"/>
    <x v="5"/>
    <x v="3"/>
    <x v="2"/>
    <x v="3"/>
    <x v="5"/>
  </r>
  <r>
    <x v="46"/>
    <x v="5"/>
    <x v="6"/>
    <x v="5"/>
    <x v="3"/>
    <x v="0"/>
  </r>
  <r>
    <x v="46"/>
    <x v="5"/>
    <x v="21"/>
    <x v="27"/>
    <x v="3"/>
    <x v="3"/>
  </r>
  <r>
    <x v="46"/>
    <x v="5"/>
    <x v="33"/>
    <x v="44"/>
    <x v="3"/>
    <x v="7"/>
  </r>
  <r>
    <x v="46"/>
    <x v="5"/>
    <x v="43"/>
    <x v="14"/>
    <x v="3"/>
    <x v="12"/>
  </r>
  <r>
    <x v="40"/>
    <x v="6"/>
    <x v="3"/>
    <x v="2"/>
    <x v="15"/>
    <x v="20"/>
  </r>
  <r>
    <x v="40"/>
    <x v="6"/>
    <x v="6"/>
    <x v="5"/>
    <x v="15"/>
    <x v="9"/>
  </r>
  <r>
    <x v="40"/>
    <x v="6"/>
    <x v="22"/>
    <x v="28"/>
    <x v="5"/>
    <x v="12"/>
  </r>
  <r>
    <x v="30"/>
    <x v="6"/>
    <x v="9"/>
    <x v="8"/>
    <x v="3"/>
    <x v="12"/>
  </r>
  <r>
    <x v="30"/>
    <x v="6"/>
    <x v="58"/>
    <x v="58"/>
    <x v="3"/>
    <x v="3"/>
  </r>
  <r>
    <x v="82"/>
    <x v="6"/>
    <x v="11"/>
    <x v="11"/>
    <x v="15"/>
    <x v="22"/>
  </r>
  <r>
    <x v="82"/>
    <x v="6"/>
    <x v="43"/>
    <x v="14"/>
    <x v="15"/>
    <x v="31"/>
  </r>
  <r>
    <x v="82"/>
    <x v="6"/>
    <x v="36"/>
    <x v="46"/>
    <x v="15"/>
    <x v="17"/>
  </r>
  <r>
    <x v="82"/>
    <x v="6"/>
    <x v="8"/>
    <x v="7"/>
    <x v="15"/>
    <x v="22"/>
  </r>
  <r>
    <x v="0"/>
    <x v="7"/>
    <x v="18"/>
    <x v="19"/>
    <x v="34"/>
    <x v="54"/>
  </r>
  <r>
    <x v="0"/>
    <x v="7"/>
    <x v="53"/>
    <x v="54"/>
    <x v="47"/>
    <x v="70"/>
  </r>
  <r>
    <x v="0"/>
    <x v="7"/>
    <x v="24"/>
    <x v="25"/>
    <x v="29"/>
    <x v="33"/>
  </r>
  <r>
    <x v="0"/>
    <x v="7"/>
    <x v="6"/>
    <x v="5"/>
    <x v="22"/>
    <x v="17"/>
  </r>
  <r>
    <x v="0"/>
    <x v="7"/>
    <x v="36"/>
    <x v="46"/>
    <x v="31"/>
    <x v="38"/>
  </r>
  <r>
    <x v="25"/>
    <x v="8"/>
    <x v="58"/>
    <x v="58"/>
    <x v="52"/>
    <x v="78"/>
  </r>
  <r>
    <x v="78"/>
    <x v="8"/>
    <x v="23"/>
    <x v="26"/>
    <x v="20"/>
    <x v="60"/>
  </r>
  <r>
    <x v="78"/>
    <x v="8"/>
    <x v="45"/>
    <x v="38"/>
    <x v="9"/>
    <x v="41"/>
  </r>
  <r>
    <x v="78"/>
    <x v="8"/>
    <x v="49"/>
    <x v="50"/>
    <x v="22"/>
    <x v="21"/>
  </r>
  <r>
    <x v="78"/>
    <x v="8"/>
    <x v="58"/>
    <x v="58"/>
    <x v="15"/>
    <x v="17"/>
  </r>
  <r>
    <x v="78"/>
    <x v="8"/>
    <x v="16"/>
    <x v="16"/>
    <x v="22"/>
    <x v="23"/>
  </r>
  <r>
    <x v="23"/>
    <x v="9"/>
    <x v="28"/>
    <x v="32"/>
    <x v="42"/>
    <x v="79"/>
  </r>
  <r>
    <x v="23"/>
    <x v="9"/>
    <x v="58"/>
    <x v="58"/>
    <x v="15"/>
    <x v="17"/>
  </r>
  <r>
    <x v="23"/>
    <x v="9"/>
    <x v="11"/>
    <x v="11"/>
    <x v="15"/>
    <x v="22"/>
  </r>
  <r>
    <x v="23"/>
    <x v="9"/>
    <x v="3"/>
    <x v="2"/>
    <x v="15"/>
    <x v="20"/>
  </r>
  <r>
    <x v="23"/>
    <x v="9"/>
    <x v="16"/>
    <x v="16"/>
    <x v="15"/>
    <x v="17"/>
  </r>
  <r>
    <x v="23"/>
    <x v="9"/>
    <x v="8"/>
    <x v="7"/>
    <x v="15"/>
    <x v="22"/>
  </r>
  <r>
    <x v="23"/>
    <x v="9"/>
    <x v="6"/>
    <x v="5"/>
    <x v="15"/>
    <x v="9"/>
  </r>
  <r>
    <x v="19"/>
    <x v="9"/>
    <x v="11"/>
    <x v="11"/>
    <x v="5"/>
    <x v="18"/>
  </r>
  <r>
    <x v="19"/>
    <x v="9"/>
    <x v="58"/>
    <x v="58"/>
    <x v="5"/>
    <x v="11"/>
  </r>
  <r>
    <x v="19"/>
    <x v="9"/>
    <x v="3"/>
    <x v="2"/>
    <x v="5"/>
    <x v="13"/>
  </r>
  <r>
    <x v="19"/>
    <x v="9"/>
    <x v="16"/>
    <x v="16"/>
    <x v="5"/>
    <x v="11"/>
  </r>
  <r>
    <x v="19"/>
    <x v="9"/>
    <x v="6"/>
    <x v="5"/>
    <x v="5"/>
    <x v="4"/>
  </r>
  <r>
    <x v="19"/>
    <x v="9"/>
    <x v="8"/>
    <x v="7"/>
    <x v="5"/>
    <x v="18"/>
  </r>
  <r>
    <x v="20"/>
    <x v="9"/>
    <x v="11"/>
    <x v="11"/>
    <x v="5"/>
    <x v="18"/>
  </r>
  <r>
    <x v="20"/>
    <x v="9"/>
    <x v="58"/>
    <x v="58"/>
    <x v="5"/>
    <x v="11"/>
  </r>
  <r>
    <x v="20"/>
    <x v="9"/>
    <x v="3"/>
    <x v="2"/>
    <x v="5"/>
    <x v="13"/>
  </r>
  <r>
    <x v="20"/>
    <x v="9"/>
    <x v="16"/>
    <x v="16"/>
    <x v="5"/>
    <x v="11"/>
  </r>
  <r>
    <x v="20"/>
    <x v="9"/>
    <x v="6"/>
    <x v="5"/>
    <x v="5"/>
    <x v="4"/>
  </r>
  <r>
    <x v="0"/>
    <x v="9"/>
    <x v="18"/>
    <x v="19"/>
    <x v="31"/>
    <x v="37"/>
  </r>
  <r>
    <x v="0"/>
    <x v="9"/>
    <x v="16"/>
    <x v="16"/>
    <x v="22"/>
    <x v="23"/>
  </r>
  <r>
    <x v="0"/>
    <x v="9"/>
    <x v="10"/>
    <x v="10"/>
    <x v="22"/>
    <x v="23"/>
  </r>
  <r>
    <x v="0"/>
    <x v="9"/>
    <x v="7"/>
    <x v="6"/>
    <x v="22"/>
    <x v="23"/>
  </r>
  <r>
    <x v="45"/>
    <x v="9"/>
    <x v="6"/>
    <x v="5"/>
    <x v="18"/>
    <x v="12"/>
  </r>
  <r>
    <x v="45"/>
    <x v="9"/>
    <x v="3"/>
    <x v="2"/>
    <x v="5"/>
    <x v="13"/>
  </r>
  <r>
    <x v="45"/>
    <x v="9"/>
    <x v="8"/>
    <x v="7"/>
    <x v="18"/>
    <x v="27"/>
  </r>
  <r>
    <x v="47"/>
    <x v="9"/>
    <x v="6"/>
    <x v="5"/>
    <x v="18"/>
    <x v="12"/>
  </r>
  <r>
    <x v="47"/>
    <x v="9"/>
    <x v="9"/>
    <x v="8"/>
    <x v="5"/>
    <x v="22"/>
  </r>
  <r>
    <x v="47"/>
    <x v="9"/>
    <x v="18"/>
    <x v="19"/>
    <x v="5"/>
    <x v="10"/>
  </r>
  <r>
    <x v="47"/>
    <x v="9"/>
    <x v="43"/>
    <x v="14"/>
    <x v="5"/>
    <x v="22"/>
  </r>
  <r>
    <x v="51"/>
    <x v="9"/>
    <x v="18"/>
    <x v="19"/>
    <x v="3"/>
    <x v="2"/>
  </r>
  <r>
    <x v="51"/>
    <x v="9"/>
    <x v="3"/>
    <x v="2"/>
    <x v="3"/>
    <x v="5"/>
  </r>
  <r>
    <x v="51"/>
    <x v="9"/>
    <x v="36"/>
    <x v="46"/>
    <x v="3"/>
    <x v="3"/>
  </r>
  <r>
    <x v="77"/>
    <x v="9"/>
    <x v="3"/>
    <x v="2"/>
    <x v="3"/>
    <x v="5"/>
  </r>
  <r>
    <x v="77"/>
    <x v="9"/>
    <x v="27"/>
    <x v="34"/>
    <x v="3"/>
    <x v="11"/>
  </r>
  <r>
    <x v="77"/>
    <x v="9"/>
    <x v="11"/>
    <x v="11"/>
    <x v="3"/>
    <x v="8"/>
  </r>
  <r>
    <x v="77"/>
    <x v="9"/>
    <x v="6"/>
    <x v="5"/>
    <x v="3"/>
    <x v="0"/>
  </r>
  <r>
    <x v="77"/>
    <x v="9"/>
    <x v="43"/>
    <x v="14"/>
    <x v="3"/>
    <x v="12"/>
  </r>
  <r>
    <x v="77"/>
    <x v="9"/>
    <x v="35"/>
    <x v="45"/>
    <x v="3"/>
    <x v="3"/>
  </r>
  <r>
    <x v="77"/>
    <x v="9"/>
    <x v="8"/>
    <x v="7"/>
    <x v="3"/>
    <x v="8"/>
  </r>
  <r>
    <x v="77"/>
    <x v="9"/>
    <x v="18"/>
    <x v="19"/>
    <x v="3"/>
    <x v="2"/>
  </r>
  <r>
    <x v="77"/>
    <x v="9"/>
    <x v="58"/>
    <x v="58"/>
    <x v="3"/>
    <x v="3"/>
  </r>
  <r>
    <x v="21"/>
    <x v="9"/>
    <x v="6"/>
    <x v="5"/>
    <x v="22"/>
    <x v="17"/>
  </r>
  <r>
    <x v="21"/>
    <x v="9"/>
    <x v="4"/>
    <x v="3"/>
    <x v="3"/>
    <x v="3"/>
  </r>
  <r>
    <x v="21"/>
    <x v="9"/>
    <x v="5"/>
    <x v="4"/>
    <x v="3"/>
    <x v="3"/>
  </r>
  <r>
    <x v="21"/>
    <x v="9"/>
    <x v="40"/>
    <x v="47"/>
    <x v="3"/>
    <x v="0"/>
  </r>
  <r>
    <x v="21"/>
    <x v="9"/>
    <x v="34"/>
    <x v="22"/>
    <x v="3"/>
    <x v="0"/>
  </r>
  <r>
    <x v="21"/>
    <x v="9"/>
    <x v="16"/>
    <x v="16"/>
    <x v="22"/>
    <x v="23"/>
  </r>
  <r>
    <x v="45"/>
    <x v="10"/>
    <x v="6"/>
    <x v="5"/>
    <x v="18"/>
    <x v="12"/>
  </r>
  <r>
    <x v="45"/>
    <x v="10"/>
    <x v="18"/>
    <x v="19"/>
    <x v="5"/>
    <x v="10"/>
  </r>
  <r>
    <x v="82"/>
    <x v="10"/>
    <x v="11"/>
    <x v="11"/>
    <x v="22"/>
    <x v="33"/>
  </r>
  <r>
    <x v="82"/>
    <x v="10"/>
    <x v="36"/>
    <x v="46"/>
    <x v="18"/>
    <x v="21"/>
  </r>
  <r>
    <x v="82"/>
    <x v="10"/>
    <x v="42"/>
    <x v="13"/>
    <x v="18"/>
    <x v="27"/>
  </r>
  <r>
    <x v="2"/>
    <x v="10"/>
    <x v="11"/>
    <x v="11"/>
    <x v="18"/>
    <x v="27"/>
  </r>
  <r>
    <x v="2"/>
    <x v="10"/>
    <x v="12"/>
    <x v="12"/>
    <x v="5"/>
    <x v="22"/>
  </r>
  <r>
    <x v="2"/>
    <x v="10"/>
    <x v="9"/>
    <x v="8"/>
    <x v="5"/>
    <x v="22"/>
  </r>
  <r>
    <x v="2"/>
    <x v="10"/>
    <x v="58"/>
    <x v="58"/>
    <x v="18"/>
    <x v="21"/>
  </r>
  <r>
    <x v="55"/>
    <x v="10"/>
    <x v="9"/>
    <x v="8"/>
    <x v="32"/>
    <x v="71"/>
  </r>
  <r>
    <x v="55"/>
    <x v="10"/>
    <x v="12"/>
    <x v="12"/>
    <x v="32"/>
    <x v="71"/>
  </r>
  <r>
    <x v="55"/>
    <x v="10"/>
    <x v="18"/>
    <x v="19"/>
    <x v="32"/>
    <x v="44"/>
  </r>
  <r>
    <x v="0"/>
    <x v="11"/>
    <x v="24"/>
    <x v="25"/>
    <x v="22"/>
    <x v="23"/>
  </r>
  <r>
    <x v="0"/>
    <x v="11"/>
    <x v="53"/>
    <x v="54"/>
    <x v="41"/>
    <x v="56"/>
  </r>
  <r>
    <x v="0"/>
    <x v="11"/>
    <x v="11"/>
    <x v="11"/>
    <x v="15"/>
    <x v="22"/>
  </r>
  <r>
    <x v="0"/>
    <x v="11"/>
    <x v="12"/>
    <x v="12"/>
    <x v="15"/>
    <x v="31"/>
  </r>
  <r>
    <x v="0"/>
    <x v="11"/>
    <x v="8"/>
    <x v="7"/>
    <x v="22"/>
    <x v="33"/>
  </r>
  <r>
    <x v="0"/>
    <x v="11"/>
    <x v="9"/>
    <x v="8"/>
    <x v="22"/>
    <x v="49"/>
  </r>
  <r>
    <x v="0"/>
    <x v="11"/>
    <x v="33"/>
    <x v="44"/>
    <x v="22"/>
    <x v="30"/>
  </r>
  <r>
    <x v="0"/>
    <x v="11"/>
    <x v="6"/>
    <x v="5"/>
    <x v="22"/>
    <x v="17"/>
  </r>
  <r>
    <x v="0"/>
    <x v="11"/>
    <x v="58"/>
    <x v="58"/>
    <x v="31"/>
    <x v="38"/>
  </r>
  <r>
    <x v="0"/>
    <x v="11"/>
    <x v="27"/>
    <x v="34"/>
    <x v="22"/>
    <x v="38"/>
  </r>
  <r>
    <x v="0"/>
    <x v="11"/>
    <x v="7"/>
    <x v="6"/>
    <x v="22"/>
    <x v="23"/>
  </r>
  <r>
    <x v="0"/>
    <x v="11"/>
    <x v="35"/>
    <x v="45"/>
    <x v="31"/>
    <x v="38"/>
  </r>
  <r>
    <x v="38"/>
    <x v="12"/>
    <x v="18"/>
    <x v="19"/>
    <x v="33"/>
    <x v="50"/>
  </r>
  <r>
    <x v="38"/>
    <x v="12"/>
    <x v="16"/>
    <x v="16"/>
    <x v="5"/>
    <x v="11"/>
  </r>
  <r>
    <x v="38"/>
    <x v="12"/>
    <x v="8"/>
    <x v="7"/>
    <x v="3"/>
    <x v="8"/>
  </r>
  <r>
    <x v="26"/>
    <x v="12"/>
    <x v="11"/>
    <x v="11"/>
    <x v="3"/>
    <x v="8"/>
  </r>
  <r>
    <x v="26"/>
    <x v="12"/>
    <x v="10"/>
    <x v="10"/>
    <x v="3"/>
    <x v="3"/>
  </r>
  <r>
    <x v="26"/>
    <x v="12"/>
    <x v="8"/>
    <x v="7"/>
    <x v="3"/>
    <x v="8"/>
  </r>
  <r>
    <x v="26"/>
    <x v="12"/>
    <x v="7"/>
    <x v="6"/>
    <x v="3"/>
    <x v="3"/>
  </r>
  <r>
    <x v="26"/>
    <x v="12"/>
    <x v="16"/>
    <x v="16"/>
    <x v="3"/>
    <x v="3"/>
  </r>
  <r>
    <x v="26"/>
    <x v="12"/>
    <x v="18"/>
    <x v="19"/>
    <x v="3"/>
    <x v="2"/>
  </r>
  <r>
    <x v="26"/>
    <x v="12"/>
    <x v="20"/>
    <x v="20"/>
    <x v="3"/>
    <x v="9"/>
  </r>
  <r>
    <x v="26"/>
    <x v="12"/>
    <x v="3"/>
    <x v="2"/>
    <x v="3"/>
    <x v="5"/>
  </r>
  <r>
    <x v="26"/>
    <x v="12"/>
    <x v="6"/>
    <x v="5"/>
    <x v="3"/>
    <x v="0"/>
  </r>
  <r>
    <x v="26"/>
    <x v="12"/>
    <x v="22"/>
    <x v="28"/>
    <x v="3"/>
    <x v="4"/>
  </r>
  <r>
    <x v="26"/>
    <x v="12"/>
    <x v="24"/>
    <x v="25"/>
    <x v="3"/>
    <x v="3"/>
  </r>
  <r>
    <x v="26"/>
    <x v="12"/>
    <x v="50"/>
    <x v="51"/>
    <x v="3"/>
    <x v="3"/>
  </r>
  <r>
    <x v="26"/>
    <x v="12"/>
    <x v="53"/>
    <x v="54"/>
    <x v="3"/>
    <x v="1"/>
  </r>
  <r>
    <x v="26"/>
    <x v="12"/>
    <x v="35"/>
    <x v="45"/>
    <x v="3"/>
    <x v="3"/>
  </r>
  <r>
    <x v="26"/>
    <x v="12"/>
    <x v="29"/>
    <x v="40"/>
    <x v="3"/>
    <x v="3"/>
  </r>
  <r>
    <x v="26"/>
    <x v="12"/>
    <x v="2"/>
    <x v="0"/>
    <x v="3"/>
    <x v="3"/>
  </r>
  <r>
    <x v="74"/>
    <x v="12"/>
    <x v="11"/>
    <x v="11"/>
    <x v="3"/>
    <x v="8"/>
  </r>
  <r>
    <x v="74"/>
    <x v="12"/>
    <x v="10"/>
    <x v="10"/>
    <x v="3"/>
    <x v="3"/>
  </r>
  <r>
    <x v="74"/>
    <x v="12"/>
    <x v="8"/>
    <x v="7"/>
    <x v="3"/>
    <x v="8"/>
  </r>
  <r>
    <x v="74"/>
    <x v="12"/>
    <x v="7"/>
    <x v="6"/>
    <x v="3"/>
    <x v="3"/>
  </r>
  <r>
    <x v="74"/>
    <x v="12"/>
    <x v="16"/>
    <x v="16"/>
    <x v="3"/>
    <x v="3"/>
  </r>
  <r>
    <x v="74"/>
    <x v="12"/>
    <x v="18"/>
    <x v="19"/>
    <x v="3"/>
    <x v="2"/>
  </r>
  <r>
    <x v="74"/>
    <x v="12"/>
    <x v="20"/>
    <x v="20"/>
    <x v="3"/>
    <x v="9"/>
  </r>
  <r>
    <x v="74"/>
    <x v="12"/>
    <x v="3"/>
    <x v="2"/>
    <x v="3"/>
    <x v="5"/>
  </r>
  <r>
    <x v="74"/>
    <x v="12"/>
    <x v="6"/>
    <x v="5"/>
    <x v="3"/>
    <x v="0"/>
  </r>
  <r>
    <x v="74"/>
    <x v="12"/>
    <x v="22"/>
    <x v="28"/>
    <x v="3"/>
    <x v="4"/>
  </r>
  <r>
    <x v="74"/>
    <x v="12"/>
    <x v="24"/>
    <x v="25"/>
    <x v="3"/>
    <x v="3"/>
  </r>
  <r>
    <x v="74"/>
    <x v="12"/>
    <x v="50"/>
    <x v="51"/>
    <x v="3"/>
    <x v="3"/>
  </r>
  <r>
    <x v="74"/>
    <x v="12"/>
    <x v="53"/>
    <x v="54"/>
    <x v="3"/>
    <x v="1"/>
  </r>
  <r>
    <x v="74"/>
    <x v="12"/>
    <x v="35"/>
    <x v="45"/>
    <x v="3"/>
    <x v="3"/>
  </r>
  <r>
    <x v="74"/>
    <x v="12"/>
    <x v="29"/>
    <x v="40"/>
    <x v="3"/>
    <x v="3"/>
  </r>
  <r>
    <x v="74"/>
    <x v="12"/>
    <x v="2"/>
    <x v="0"/>
    <x v="3"/>
    <x v="3"/>
  </r>
  <r>
    <x v="67"/>
    <x v="12"/>
    <x v="51"/>
    <x v="52"/>
    <x v="31"/>
    <x v="63"/>
  </r>
  <r>
    <x v="58"/>
    <x v="12"/>
    <x v="52"/>
    <x v="53"/>
    <x v="41"/>
    <x v="33"/>
  </r>
  <r>
    <x v="78"/>
    <x v="13"/>
    <x v="23"/>
    <x v="26"/>
    <x v="21"/>
    <x v="62"/>
  </r>
  <r>
    <x v="78"/>
    <x v="13"/>
    <x v="45"/>
    <x v="38"/>
    <x v="12"/>
    <x v="46"/>
  </r>
  <r>
    <x v="78"/>
    <x v="13"/>
    <x v="48"/>
    <x v="35"/>
    <x v="13"/>
    <x v="47"/>
  </r>
  <r>
    <x v="78"/>
    <x v="13"/>
    <x v="28"/>
    <x v="32"/>
    <x v="27"/>
    <x v="68"/>
  </r>
  <r>
    <x v="78"/>
    <x v="13"/>
    <x v="37"/>
    <x v="29"/>
    <x v="14"/>
    <x v="48"/>
  </r>
  <r>
    <x v="78"/>
    <x v="13"/>
    <x v="8"/>
    <x v="7"/>
    <x v="22"/>
    <x v="33"/>
  </r>
  <r>
    <x v="78"/>
    <x v="13"/>
    <x v="7"/>
    <x v="6"/>
    <x v="25"/>
    <x v="26"/>
  </r>
  <r>
    <x v="78"/>
    <x v="13"/>
    <x v="10"/>
    <x v="10"/>
    <x v="25"/>
    <x v="26"/>
  </r>
  <r>
    <x v="78"/>
    <x v="13"/>
    <x v="6"/>
    <x v="5"/>
    <x v="22"/>
    <x v="17"/>
  </r>
  <r>
    <x v="78"/>
    <x v="13"/>
    <x v="18"/>
    <x v="19"/>
    <x v="22"/>
    <x v="22"/>
  </r>
  <r>
    <x v="78"/>
    <x v="13"/>
    <x v="53"/>
    <x v="54"/>
    <x v="22"/>
    <x v="21"/>
  </r>
  <r>
    <x v="81"/>
    <x v="13"/>
    <x v="11"/>
    <x v="11"/>
    <x v="29"/>
    <x v="52"/>
  </r>
  <r>
    <x v="81"/>
    <x v="13"/>
    <x v="8"/>
    <x v="7"/>
    <x v="29"/>
    <x v="52"/>
  </r>
  <r>
    <x v="81"/>
    <x v="13"/>
    <x v="36"/>
    <x v="46"/>
    <x v="29"/>
    <x v="33"/>
  </r>
  <r>
    <x v="81"/>
    <x v="13"/>
    <x v="42"/>
    <x v="13"/>
    <x v="29"/>
    <x v="52"/>
  </r>
  <r>
    <x v="4"/>
    <x v="13"/>
    <x v="15"/>
    <x v="21"/>
    <x v="43"/>
    <x v="80"/>
  </r>
  <r>
    <x v="5"/>
    <x v="13"/>
    <x v="29"/>
    <x v="40"/>
    <x v="3"/>
    <x v="3"/>
  </r>
  <r>
    <x v="5"/>
    <x v="13"/>
    <x v="27"/>
    <x v="34"/>
    <x v="3"/>
    <x v="11"/>
  </r>
  <r>
    <x v="15"/>
    <x v="13"/>
    <x v="11"/>
    <x v="11"/>
    <x v="29"/>
    <x v="52"/>
  </r>
  <r>
    <x v="15"/>
    <x v="13"/>
    <x v="8"/>
    <x v="7"/>
    <x v="29"/>
    <x v="52"/>
  </r>
  <r>
    <x v="15"/>
    <x v="13"/>
    <x v="42"/>
    <x v="13"/>
    <x v="29"/>
    <x v="52"/>
  </r>
  <r>
    <x v="15"/>
    <x v="13"/>
    <x v="6"/>
    <x v="5"/>
    <x v="32"/>
    <x v="31"/>
  </r>
  <r>
    <x v="15"/>
    <x v="13"/>
    <x v="53"/>
    <x v="54"/>
    <x v="32"/>
    <x v="37"/>
  </r>
  <r>
    <x v="15"/>
    <x v="13"/>
    <x v="36"/>
    <x v="46"/>
    <x v="25"/>
    <x v="26"/>
  </r>
  <r>
    <x v="15"/>
    <x v="13"/>
    <x v="21"/>
    <x v="27"/>
    <x v="29"/>
    <x v="33"/>
  </r>
  <r>
    <x v="15"/>
    <x v="13"/>
    <x v="44"/>
    <x v="39"/>
    <x v="32"/>
    <x v="49"/>
  </r>
  <r>
    <x v="15"/>
    <x v="13"/>
    <x v="29"/>
    <x v="40"/>
    <x v="25"/>
    <x v="26"/>
  </r>
  <r>
    <x v="32"/>
    <x v="13"/>
    <x v="27"/>
    <x v="34"/>
    <x v="41"/>
    <x v="72"/>
  </r>
  <r>
    <x v="32"/>
    <x v="13"/>
    <x v="17"/>
    <x v="17"/>
    <x v="5"/>
    <x v="56"/>
  </r>
  <r>
    <x v="32"/>
    <x v="13"/>
    <x v="21"/>
    <x v="27"/>
    <x v="18"/>
    <x v="21"/>
  </r>
  <r>
    <x v="32"/>
    <x v="13"/>
    <x v="53"/>
    <x v="54"/>
    <x v="22"/>
    <x v="21"/>
  </r>
  <r>
    <x v="1"/>
    <x v="13"/>
    <x v="58"/>
    <x v="58"/>
    <x v="3"/>
    <x v="3"/>
  </r>
  <r>
    <x v="1"/>
    <x v="13"/>
    <x v="53"/>
    <x v="54"/>
    <x v="5"/>
    <x v="8"/>
  </r>
  <r>
    <x v="1"/>
    <x v="13"/>
    <x v="24"/>
    <x v="25"/>
    <x v="3"/>
    <x v="3"/>
  </r>
  <r>
    <x v="1"/>
    <x v="13"/>
    <x v="50"/>
    <x v="51"/>
    <x v="3"/>
    <x v="3"/>
  </r>
  <r>
    <x v="1"/>
    <x v="13"/>
    <x v="38"/>
    <x v="30"/>
    <x v="3"/>
    <x v="3"/>
  </r>
  <r>
    <x v="57"/>
    <x v="13"/>
    <x v="10"/>
    <x v="10"/>
    <x v="18"/>
    <x v="21"/>
  </r>
  <r>
    <x v="57"/>
    <x v="13"/>
    <x v="9"/>
    <x v="8"/>
    <x v="3"/>
    <x v="12"/>
  </r>
  <r>
    <x v="57"/>
    <x v="13"/>
    <x v="16"/>
    <x v="16"/>
    <x v="18"/>
    <x v="21"/>
  </r>
  <r>
    <x v="57"/>
    <x v="13"/>
    <x v="58"/>
    <x v="58"/>
    <x v="18"/>
    <x v="21"/>
  </r>
  <r>
    <x v="57"/>
    <x v="13"/>
    <x v="36"/>
    <x v="46"/>
    <x v="5"/>
    <x v="11"/>
  </r>
  <r>
    <x v="57"/>
    <x v="13"/>
    <x v="35"/>
    <x v="45"/>
    <x v="3"/>
    <x v="3"/>
  </r>
  <r>
    <x v="57"/>
    <x v="13"/>
    <x v="6"/>
    <x v="5"/>
    <x v="5"/>
    <x v="4"/>
  </r>
  <r>
    <x v="57"/>
    <x v="13"/>
    <x v="21"/>
    <x v="27"/>
    <x v="3"/>
    <x v="3"/>
  </r>
  <r>
    <x v="57"/>
    <x v="13"/>
    <x v="24"/>
    <x v="25"/>
    <x v="3"/>
    <x v="3"/>
  </r>
  <r>
    <x v="57"/>
    <x v="13"/>
    <x v="51"/>
    <x v="52"/>
    <x v="3"/>
    <x v="11"/>
  </r>
  <r>
    <x v="57"/>
    <x v="13"/>
    <x v="56"/>
    <x v="49"/>
    <x v="4"/>
    <x v="28"/>
  </r>
  <r>
    <x v="57"/>
    <x v="13"/>
    <x v="29"/>
    <x v="40"/>
    <x v="3"/>
    <x v="3"/>
  </r>
  <r>
    <x v="57"/>
    <x v="13"/>
    <x v="2"/>
    <x v="0"/>
    <x v="3"/>
    <x v="3"/>
  </r>
  <r>
    <x v="57"/>
    <x v="13"/>
    <x v="41"/>
    <x v="48"/>
    <x v="1"/>
    <x v="7"/>
  </r>
  <r>
    <x v="57"/>
    <x v="13"/>
    <x v="44"/>
    <x v="39"/>
    <x v="3"/>
    <x v="3"/>
  </r>
  <r>
    <x v="57"/>
    <x v="13"/>
    <x v="43"/>
    <x v="14"/>
    <x v="3"/>
    <x v="12"/>
  </r>
  <r>
    <x v="57"/>
    <x v="13"/>
    <x v="38"/>
    <x v="30"/>
    <x v="3"/>
    <x v="3"/>
  </r>
  <r>
    <x v="13"/>
    <x v="13"/>
    <x v="10"/>
    <x v="10"/>
    <x v="3"/>
    <x v="3"/>
  </r>
  <r>
    <x v="13"/>
    <x v="13"/>
    <x v="7"/>
    <x v="6"/>
    <x v="3"/>
    <x v="3"/>
  </r>
  <r>
    <x v="13"/>
    <x v="13"/>
    <x v="16"/>
    <x v="16"/>
    <x v="3"/>
    <x v="3"/>
  </r>
  <r>
    <x v="13"/>
    <x v="13"/>
    <x v="18"/>
    <x v="19"/>
    <x v="3"/>
    <x v="2"/>
  </r>
  <r>
    <x v="13"/>
    <x v="13"/>
    <x v="20"/>
    <x v="20"/>
    <x v="3"/>
    <x v="9"/>
  </r>
  <r>
    <x v="13"/>
    <x v="13"/>
    <x v="35"/>
    <x v="45"/>
    <x v="3"/>
    <x v="3"/>
  </r>
  <r>
    <x v="13"/>
    <x v="13"/>
    <x v="24"/>
    <x v="25"/>
    <x v="3"/>
    <x v="3"/>
  </r>
  <r>
    <x v="13"/>
    <x v="13"/>
    <x v="33"/>
    <x v="44"/>
    <x v="3"/>
    <x v="7"/>
  </r>
  <r>
    <x v="13"/>
    <x v="13"/>
    <x v="50"/>
    <x v="51"/>
    <x v="3"/>
    <x v="3"/>
  </r>
  <r>
    <x v="13"/>
    <x v="13"/>
    <x v="30"/>
    <x v="41"/>
    <x v="3"/>
    <x v="4"/>
  </r>
  <r>
    <x v="24"/>
    <x v="13"/>
    <x v="24"/>
    <x v="25"/>
    <x v="3"/>
    <x v="3"/>
  </r>
  <r>
    <x v="24"/>
    <x v="13"/>
    <x v="53"/>
    <x v="54"/>
    <x v="3"/>
    <x v="1"/>
  </r>
  <r>
    <x v="24"/>
    <x v="13"/>
    <x v="29"/>
    <x v="40"/>
    <x v="3"/>
    <x v="3"/>
  </r>
  <r>
    <x v="24"/>
    <x v="13"/>
    <x v="41"/>
    <x v="48"/>
    <x v="0"/>
    <x v="6"/>
  </r>
  <r>
    <x v="24"/>
    <x v="13"/>
    <x v="44"/>
    <x v="39"/>
    <x v="3"/>
    <x v="3"/>
  </r>
  <r>
    <x v="24"/>
    <x v="13"/>
    <x v="42"/>
    <x v="13"/>
    <x v="3"/>
    <x v="8"/>
  </r>
  <r>
    <x v="24"/>
    <x v="13"/>
    <x v="38"/>
    <x v="30"/>
    <x v="3"/>
    <x v="3"/>
  </r>
  <r>
    <x v="24"/>
    <x v="13"/>
    <x v="21"/>
    <x v="27"/>
    <x v="3"/>
    <x v="3"/>
  </r>
  <r>
    <x v="12"/>
    <x v="13"/>
    <x v="11"/>
    <x v="11"/>
    <x v="3"/>
    <x v="8"/>
  </r>
  <r>
    <x v="12"/>
    <x v="13"/>
    <x v="12"/>
    <x v="12"/>
    <x v="3"/>
    <x v="12"/>
  </r>
  <r>
    <x v="12"/>
    <x v="13"/>
    <x v="8"/>
    <x v="7"/>
    <x v="3"/>
    <x v="8"/>
  </r>
  <r>
    <x v="12"/>
    <x v="13"/>
    <x v="9"/>
    <x v="8"/>
    <x v="3"/>
    <x v="12"/>
  </r>
  <r>
    <x v="12"/>
    <x v="13"/>
    <x v="58"/>
    <x v="58"/>
    <x v="18"/>
    <x v="21"/>
  </r>
  <r>
    <x v="12"/>
    <x v="13"/>
    <x v="35"/>
    <x v="45"/>
    <x v="5"/>
    <x v="11"/>
  </r>
  <r>
    <x v="12"/>
    <x v="13"/>
    <x v="53"/>
    <x v="54"/>
    <x v="3"/>
    <x v="1"/>
  </r>
  <r>
    <x v="12"/>
    <x v="13"/>
    <x v="27"/>
    <x v="34"/>
    <x v="3"/>
    <x v="11"/>
  </r>
  <r>
    <x v="12"/>
    <x v="13"/>
    <x v="2"/>
    <x v="0"/>
    <x v="3"/>
    <x v="3"/>
  </r>
  <r>
    <x v="12"/>
    <x v="13"/>
    <x v="44"/>
    <x v="39"/>
    <x v="3"/>
    <x v="3"/>
  </r>
  <r>
    <x v="12"/>
    <x v="13"/>
    <x v="42"/>
    <x v="13"/>
    <x v="3"/>
    <x v="8"/>
  </r>
  <r>
    <x v="12"/>
    <x v="13"/>
    <x v="38"/>
    <x v="30"/>
    <x v="3"/>
    <x v="3"/>
  </r>
  <r>
    <x v="41"/>
    <x v="13"/>
    <x v="11"/>
    <x v="11"/>
    <x v="31"/>
    <x v="56"/>
  </r>
  <r>
    <x v="41"/>
    <x v="13"/>
    <x v="12"/>
    <x v="12"/>
    <x v="18"/>
    <x v="37"/>
  </r>
  <r>
    <x v="41"/>
    <x v="13"/>
    <x v="18"/>
    <x v="19"/>
    <x v="31"/>
    <x v="37"/>
  </r>
  <r>
    <x v="41"/>
    <x v="13"/>
    <x v="16"/>
    <x v="16"/>
    <x v="15"/>
    <x v="17"/>
  </r>
  <r>
    <x v="41"/>
    <x v="13"/>
    <x v="58"/>
    <x v="58"/>
    <x v="22"/>
    <x v="23"/>
  </r>
  <r>
    <x v="41"/>
    <x v="13"/>
    <x v="53"/>
    <x v="54"/>
    <x v="18"/>
    <x v="18"/>
  </r>
  <r>
    <x v="41"/>
    <x v="13"/>
    <x v="24"/>
    <x v="25"/>
    <x v="25"/>
    <x v="26"/>
  </r>
  <r>
    <x v="41"/>
    <x v="13"/>
    <x v="27"/>
    <x v="34"/>
    <x v="25"/>
    <x v="49"/>
  </r>
  <r>
    <x v="62"/>
    <x v="14"/>
    <x v="28"/>
    <x v="32"/>
    <x v="48"/>
    <x v="83"/>
  </r>
  <r>
    <x v="72"/>
    <x v="14"/>
    <x v="25"/>
    <x v="24"/>
    <x v="37"/>
    <x v="74"/>
  </r>
  <r>
    <x v="73"/>
    <x v="14"/>
    <x v="32"/>
    <x v="43"/>
    <x v="7"/>
    <x v="39"/>
  </r>
  <r>
    <x v="73"/>
    <x v="14"/>
    <x v="45"/>
    <x v="38"/>
    <x v="8"/>
    <x v="40"/>
  </r>
  <r>
    <x v="73"/>
    <x v="14"/>
    <x v="37"/>
    <x v="29"/>
    <x v="6"/>
    <x v="36"/>
  </r>
  <r>
    <x v="21"/>
    <x v="14"/>
    <x v="9"/>
    <x v="8"/>
    <x v="29"/>
    <x v="61"/>
  </r>
  <r>
    <x v="21"/>
    <x v="14"/>
    <x v="6"/>
    <x v="5"/>
    <x v="31"/>
    <x v="26"/>
  </r>
  <r>
    <x v="21"/>
    <x v="14"/>
    <x v="33"/>
    <x v="44"/>
    <x v="22"/>
    <x v="30"/>
  </r>
  <r>
    <x v="21"/>
    <x v="14"/>
    <x v="22"/>
    <x v="28"/>
    <x v="31"/>
    <x v="49"/>
  </r>
  <r>
    <x v="21"/>
    <x v="14"/>
    <x v="24"/>
    <x v="25"/>
    <x v="31"/>
    <x v="38"/>
  </r>
  <r>
    <x v="22"/>
    <x v="14"/>
    <x v="8"/>
    <x v="7"/>
    <x v="28"/>
    <x v="43"/>
  </r>
  <r>
    <x v="22"/>
    <x v="14"/>
    <x v="27"/>
    <x v="34"/>
    <x v="22"/>
    <x v="38"/>
  </r>
  <r>
    <x v="76"/>
    <x v="14"/>
    <x v="22"/>
    <x v="28"/>
    <x v="3"/>
    <x v="4"/>
  </r>
  <r>
    <x v="76"/>
    <x v="14"/>
    <x v="44"/>
    <x v="39"/>
    <x v="3"/>
    <x v="3"/>
  </r>
  <r>
    <x v="76"/>
    <x v="14"/>
    <x v="38"/>
    <x v="30"/>
    <x v="3"/>
    <x v="3"/>
  </r>
  <r>
    <x v="76"/>
    <x v="14"/>
    <x v="37"/>
    <x v="29"/>
    <x v="6"/>
    <x v="36"/>
  </r>
  <r>
    <x v="76"/>
    <x v="14"/>
    <x v="24"/>
    <x v="25"/>
    <x v="3"/>
    <x v="3"/>
  </r>
  <r>
    <x v="76"/>
    <x v="14"/>
    <x v="6"/>
    <x v="5"/>
    <x v="3"/>
    <x v="0"/>
  </r>
  <r>
    <x v="76"/>
    <x v="14"/>
    <x v="18"/>
    <x v="19"/>
    <x v="3"/>
    <x v="2"/>
  </r>
  <r>
    <x v="76"/>
    <x v="14"/>
    <x v="16"/>
    <x v="16"/>
    <x v="3"/>
    <x v="3"/>
  </r>
  <r>
    <x v="76"/>
    <x v="14"/>
    <x v="20"/>
    <x v="20"/>
    <x v="3"/>
    <x v="9"/>
  </r>
  <r>
    <x v="76"/>
    <x v="14"/>
    <x v="8"/>
    <x v="7"/>
    <x v="3"/>
    <x v="8"/>
  </r>
  <r>
    <x v="76"/>
    <x v="14"/>
    <x v="11"/>
    <x v="11"/>
    <x v="3"/>
    <x v="8"/>
  </r>
  <r>
    <x v="76"/>
    <x v="14"/>
    <x v="10"/>
    <x v="10"/>
    <x v="3"/>
    <x v="3"/>
  </r>
  <r>
    <x v="76"/>
    <x v="14"/>
    <x v="53"/>
    <x v="54"/>
    <x v="3"/>
    <x v="1"/>
  </r>
  <r>
    <x v="76"/>
    <x v="14"/>
    <x v="50"/>
    <x v="51"/>
    <x v="3"/>
    <x v="3"/>
  </r>
  <r>
    <x v="76"/>
    <x v="14"/>
    <x v="35"/>
    <x v="45"/>
    <x v="3"/>
    <x v="3"/>
  </r>
  <r>
    <x v="76"/>
    <x v="14"/>
    <x v="58"/>
    <x v="58"/>
    <x v="3"/>
    <x v="3"/>
  </r>
  <r>
    <x v="17"/>
    <x v="14"/>
    <x v="22"/>
    <x v="28"/>
    <x v="3"/>
    <x v="4"/>
  </r>
  <r>
    <x v="17"/>
    <x v="14"/>
    <x v="44"/>
    <x v="39"/>
    <x v="3"/>
    <x v="3"/>
  </r>
  <r>
    <x v="17"/>
    <x v="14"/>
    <x v="38"/>
    <x v="30"/>
    <x v="3"/>
    <x v="3"/>
  </r>
  <r>
    <x v="17"/>
    <x v="14"/>
    <x v="24"/>
    <x v="25"/>
    <x v="3"/>
    <x v="3"/>
  </r>
  <r>
    <x v="17"/>
    <x v="14"/>
    <x v="6"/>
    <x v="5"/>
    <x v="3"/>
    <x v="0"/>
  </r>
  <r>
    <x v="17"/>
    <x v="14"/>
    <x v="18"/>
    <x v="19"/>
    <x v="3"/>
    <x v="2"/>
  </r>
  <r>
    <x v="17"/>
    <x v="14"/>
    <x v="16"/>
    <x v="16"/>
    <x v="3"/>
    <x v="3"/>
  </r>
  <r>
    <x v="17"/>
    <x v="14"/>
    <x v="20"/>
    <x v="20"/>
    <x v="3"/>
    <x v="9"/>
  </r>
  <r>
    <x v="17"/>
    <x v="14"/>
    <x v="8"/>
    <x v="7"/>
    <x v="3"/>
    <x v="8"/>
  </r>
  <r>
    <x v="17"/>
    <x v="14"/>
    <x v="11"/>
    <x v="11"/>
    <x v="3"/>
    <x v="8"/>
  </r>
  <r>
    <x v="17"/>
    <x v="14"/>
    <x v="10"/>
    <x v="10"/>
    <x v="3"/>
    <x v="3"/>
  </r>
  <r>
    <x v="17"/>
    <x v="14"/>
    <x v="53"/>
    <x v="54"/>
    <x v="3"/>
    <x v="1"/>
  </r>
  <r>
    <x v="17"/>
    <x v="14"/>
    <x v="50"/>
    <x v="51"/>
    <x v="3"/>
    <x v="3"/>
  </r>
  <r>
    <x v="17"/>
    <x v="14"/>
    <x v="35"/>
    <x v="45"/>
    <x v="3"/>
    <x v="3"/>
  </r>
  <r>
    <x v="17"/>
    <x v="14"/>
    <x v="58"/>
    <x v="58"/>
    <x v="3"/>
    <x v="3"/>
  </r>
  <r>
    <x v="28"/>
    <x v="14"/>
    <x v="12"/>
    <x v="12"/>
    <x v="22"/>
    <x v="49"/>
  </r>
  <r>
    <x v="28"/>
    <x v="14"/>
    <x v="53"/>
    <x v="54"/>
    <x v="3"/>
    <x v="1"/>
  </r>
  <r>
    <x v="28"/>
    <x v="14"/>
    <x v="29"/>
    <x v="40"/>
    <x v="3"/>
    <x v="3"/>
  </r>
  <r>
    <x v="29"/>
    <x v="14"/>
    <x v="44"/>
    <x v="39"/>
    <x v="3"/>
    <x v="3"/>
  </r>
  <r>
    <x v="29"/>
    <x v="14"/>
    <x v="22"/>
    <x v="28"/>
    <x v="3"/>
    <x v="4"/>
  </r>
  <r>
    <x v="29"/>
    <x v="14"/>
    <x v="24"/>
    <x v="25"/>
    <x v="3"/>
    <x v="3"/>
  </r>
  <r>
    <x v="29"/>
    <x v="14"/>
    <x v="29"/>
    <x v="40"/>
    <x v="3"/>
    <x v="3"/>
  </r>
  <r>
    <x v="29"/>
    <x v="14"/>
    <x v="18"/>
    <x v="19"/>
    <x v="3"/>
    <x v="2"/>
  </r>
  <r>
    <x v="29"/>
    <x v="14"/>
    <x v="42"/>
    <x v="13"/>
    <x v="3"/>
    <x v="8"/>
  </r>
  <r>
    <x v="29"/>
    <x v="14"/>
    <x v="8"/>
    <x v="7"/>
    <x v="3"/>
    <x v="8"/>
  </r>
  <r>
    <x v="29"/>
    <x v="14"/>
    <x v="11"/>
    <x v="11"/>
    <x v="3"/>
    <x v="8"/>
  </r>
  <r>
    <x v="29"/>
    <x v="14"/>
    <x v="33"/>
    <x v="44"/>
    <x v="3"/>
    <x v="7"/>
  </r>
  <r>
    <x v="29"/>
    <x v="14"/>
    <x v="36"/>
    <x v="46"/>
    <x v="3"/>
    <x v="3"/>
  </r>
  <r>
    <x v="45"/>
    <x v="15"/>
    <x v="9"/>
    <x v="8"/>
    <x v="5"/>
    <x v="22"/>
  </r>
  <r>
    <x v="45"/>
    <x v="15"/>
    <x v="53"/>
    <x v="54"/>
    <x v="5"/>
    <x v="8"/>
  </r>
  <r>
    <x v="45"/>
    <x v="15"/>
    <x v="6"/>
    <x v="5"/>
    <x v="15"/>
    <x v="9"/>
  </r>
  <r>
    <x v="23"/>
    <x v="15"/>
    <x v="28"/>
    <x v="32"/>
    <x v="40"/>
    <x v="77"/>
  </r>
  <r>
    <x v="61"/>
    <x v="15"/>
    <x v="21"/>
    <x v="27"/>
    <x v="3"/>
    <x v="3"/>
  </r>
  <r>
    <x v="61"/>
    <x v="15"/>
    <x v="44"/>
    <x v="39"/>
    <x v="3"/>
    <x v="3"/>
  </r>
  <r>
    <x v="61"/>
    <x v="15"/>
    <x v="38"/>
    <x v="30"/>
    <x v="3"/>
    <x v="3"/>
  </r>
  <r>
    <x v="61"/>
    <x v="15"/>
    <x v="24"/>
    <x v="25"/>
    <x v="3"/>
    <x v="3"/>
  </r>
  <r>
    <x v="61"/>
    <x v="15"/>
    <x v="16"/>
    <x v="16"/>
    <x v="3"/>
    <x v="3"/>
  </r>
  <r>
    <x v="61"/>
    <x v="15"/>
    <x v="20"/>
    <x v="20"/>
    <x v="3"/>
    <x v="9"/>
  </r>
  <r>
    <x v="61"/>
    <x v="15"/>
    <x v="18"/>
    <x v="19"/>
    <x v="3"/>
    <x v="2"/>
  </r>
  <r>
    <x v="61"/>
    <x v="15"/>
    <x v="6"/>
    <x v="5"/>
    <x v="3"/>
    <x v="0"/>
  </r>
  <r>
    <x v="61"/>
    <x v="15"/>
    <x v="8"/>
    <x v="7"/>
    <x v="3"/>
    <x v="8"/>
  </r>
  <r>
    <x v="61"/>
    <x v="15"/>
    <x v="10"/>
    <x v="10"/>
    <x v="3"/>
    <x v="3"/>
  </r>
  <r>
    <x v="61"/>
    <x v="15"/>
    <x v="53"/>
    <x v="54"/>
    <x v="3"/>
    <x v="1"/>
  </r>
  <r>
    <x v="61"/>
    <x v="15"/>
    <x v="50"/>
    <x v="51"/>
    <x v="3"/>
    <x v="3"/>
  </r>
  <r>
    <x v="61"/>
    <x v="15"/>
    <x v="35"/>
    <x v="45"/>
    <x v="3"/>
    <x v="3"/>
  </r>
  <r>
    <x v="61"/>
    <x v="15"/>
    <x v="58"/>
    <x v="58"/>
    <x v="3"/>
    <x v="3"/>
  </r>
  <r>
    <x v="61"/>
    <x v="15"/>
    <x v="26"/>
    <x v="33"/>
    <x v="3"/>
    <x v="3"/>
  </r>
  <r>
    <x v="61"/>
    <x v="15"/>
    <x v="42"/>
    <x v="13"/>
    <x v="3"/>
    <x v="8"/>
  </r>
  <r>
    <x v="61"/>
    <x v="15"/>
    <x v="0"/>
    <x v="23"/>
    <x v="3"/>
    <x v="3"/>
  </r>
  <r>
    <x v="31"/>
    <x v="15"/>
    <x v="44"/>
    <x v="39"/>
    <x v="3"/>
    <x v="3"/>
  </r>
  <r>
    <x v="31"/>
    <x v="15"/>
    <x v="21"/>
    <x v="27"/>
    <x v="3"/>
    <x v="3"/>
  </r>
  <r>
    <x v="31"/>
    <x v="15"/>
    <x v="16"/>
    <x v="16"/>
    <x v="5"/>
    <x v="11"/>
  </r>
  <r>
    <x v="31"/>
    <x v="15"/>
    <x v="18"/>
    <x v="19"/>
    <x v="5"/>
    <x v="10"/>
  </r>
  <r>
    <x v="31"/>
    <x v="15"/>
    <x v="20"/>
    <x v="20"/>
    <x v="3"/>
    <x v="9"/>
  </r>
  <r>
    <x v="31"/>
    <x v="15"/>
    <x v="53"/>
    <x v="54"/>
    <x v="3"/>
    <x v="1"/>
  </r>
  <r>
    <x v="31"/>
    <x v="15"/>
    <x v="46"/>
    <x v="36"/>
    <x v="3"/>
    <x v="3"/>
  </r>
  <r>
    <x v="37"/>
    <x v="15"/>
    <x v="46"/>
    <x v="36"/>
    <x v="3"/>
    <x v="3"/>
  </r>
  <r>
    <x v="37"/>
    <x v="15"/>
    <x v="42"/>
    <x v="13"/>
    <x v="3"/>
    <x v="8"/>
  </r>
  <r>
    <x v="37"/>
    <x v="15"/>
    <x v="53"/>
    <x v="54"/>
    <x v="3"/>
    <x v="1"/>
  </r>
  <r>
    <x v="37"/>
    <x v="15"/>
    <x v="38"/>
    <x v="30"/>
    <x v="3"/>
    <x v="3"/>
  </r>
  <r>
    <x v="21"/>
    <x v="15"/>
    <x v="11"/>
    <x v="11"/>
    <x v="31"/>
    <x v="56"/>
  </r>
  <r>
    <x v="21"/>
    <x v="15"/>
    <x v="12"/>
    <x v="12"/>
    <x v="31"/>
    <x v="66"/>
  </r>
  <r>
    <x v="21"/>
    <x v="15"/>
    <x v="47"/>
    <x v="37"/>
    <x v="15"/>
    <x v="19"/>
  </r>
  <r>
    <x v="21"/>
    <x v="15"/>
    <x v="38"/>
    <x v="30"/>
    <x v="22"/>
    <x v="23"/>
  </r>
  <r>
    <x v="21"/>
    <x v="15"/>
    <x v="42"/>
    <x v="13"/>
    <x v="22"/>
    <x v="33"/>
  </r>
  <r>
    <x v="21"/>
    <x v="15"/>
    <x v="43"/>
    <x v="14"/>
    <x v="31"/>
    <x v="66"/>
  </r>
  <r>
    <x v="21"/>
    <x v="15"/>
    <x v="18"/>
    <x v="19"/>
    <x v="31"/>
    <x v="37"/>
  </r>
  <r>
    <x v="21"/>
    <x v="15"/>
    <x v="33"/>
    <x v="44"/>
    <x v="5"/>
    <x v="15"/>
  </r>
  <r>
    <x v="21"/>
    <x v="15"/>
    <x v="58"/>
    <x v="58"/>
    <x v="31"/>
    <x v="38"/>
  </r>
  <r>
    <x v="21"/>
    <x v="15"/>
    <x v="50"/>
    <x v="51"/>
    <x v="22"/>
    <x v="23"/>
  </r>
  <r>
    <x v="21"/>
    <x v="15"/>
    <x v="53"/>
    <x v="54"/>
    <x v="31"/>
    <x v="33"/>
  </r>
  <r>
    <x v="0"/>
    <x v="15"/>
    <x v="33"/>
    <x v="44"/>
    <x v="22"/>
    <x v="30"/>
  </r>
  <r>
    <x v="0"/>
    <x v="15"/>
    <x v="21"/>
    <x v="27"/>
    <x v="22"/>
    <x v="23"/>
  </r>
  <r>
    <x v="0"/>
    <x v="15"/>
    <x v="53"/>
    <x v="54"/>
    <x v="44"/>
    <x v="66"/>
  </r>
  <r>
    <x v="0"/>
    <x v="15"/>
    <x v="54"/>
    <x v="56"/>
    <x v="22"/>
    <x v="38"/>
  </r>
  <r>
    <x v="0"/>
    <x v="15"/>
    <x v="36"/>
    <x v="46"/>
    <x v="41"/>
    <x v="63"/>
  </r>
  <r>
    <x v="0"/>
    <x v="15"/>
    <x v="6"/>
    <x v="5"/>
    <x v="29"/>
    <x v="22"/>
  </r>
  <r>
    <x v="0"/>
    <x v="15"/>
    <x v="27"/>
    <x v="34"/>
    <x v="29"/>
    <x v="56"/>
  </r>
  <r>
    <x v="0"/>
    <x v="15"/>
    <x v="24"/>
    <x v="25"/>
    <x v="34"/>
    <x v="55"/>
  </r>
  <r>
    <x v="0"/>
    <x v="15"/>
    <x v="58"/>
    <x v="58"/>
    <x v="31"/>
    <x v="38"/>
  </r>
  <r>
    <x v="0"/>
    <x v="15"/>
    <x v="8"/>
    <x v="7"/>
    <x v="29"/>
    <x v="52"/>
  </r>
  <r>
    <x v="0"/>
    <x v="15"/>
    <x v="9"/>
    <x v="8"/>
    <x v="29"/>
    <x v="61"/>
  </r>
  <r>
    <x v="0"/>
    <x v="15"/>
    <x v="10"/>
    <x v="10"/>
    <x v="25"/>
    <x v="26"/>
  </r>
  <r>
    <x v="0"/>
    <x v="15"/>
    <x v="11"/>
    <x v="11"/>
    <x v="25"/>
    <x v="37"/>
  </r>
  <r>
    <x v="0"/>
    <x v="15"/>
    <x v="12"/>
    <x v="12"/>
    <x v="25"/>
    <x v="54"/>
  </r>
  <r>
    <x v="44"/>
    <x v="0"/>
    <x v="19"/>
    <x v="18"/>
    <x v="41"/>
    <x v="88"/>
  </r>
  <r>
    <x v="44"/>
    <x v="6"/>
    <x v="19"/>
    <x v="18"/>
    <x v="41"/>
    <x v="88"/>
  </r>
  <r>
    <x v="44"/>
    <x v="9"/>
    <x v="19"/>
    <x v="18"/>
    <x v="34"/>
    <x v="87"/>
  </r>
  <r>
    <x v="44"/>
    <x v="11"/>
    <x v="19"/>
    <x v="18"/>
    <x v="41"/>
    <x v="88"/>
  </r>
  <r>
    <x v="44"/>
    <x v="16"/>
    <x v="19"/>
    <x v="18"/>
    <x v="41"/>
    <x v="88"/>
  </r>
  <r>
    <x v="75"/>
    <x v="16"/>
    <x v="18"/>
    <x v="19"/>
    <x v="18"/>
    <x v="20"/>
  </r>
  <r>
    <x v="75"/>
    <x v="16"/>
    <x v="52"/>
    <x v="53"/>
    <x v="31"/>
    <x v="21"/>
  </r>
  <r>
    <x v="75"/>
    <x v="16"/>
    <x v="41"/>
    <x v="48"/>
    <x v="10"/>
    <x v="42"/>
  </r>
  <r>
    <x v="75"/>
    <x v="16"/>
    <x v="8"/>
    <x v="7"/>
    <x v="18"/>
    <x v="27"/>
  </r>
  <r>
    <x v="56"/>
    <x v="16"/>
    <x v="8"/>
    <x v="7"/>
    <x v="5"/>
    <x v="18"/>
  </r>
  <r>
    <x v="56"/>
    <x v="16"/>
    <x v="42"/>
    <x v="13"/>
    <x v="5"/>
    <x v="18"/>
  </r>
  <r>
    <x v="56"/>
    <x v="16"/>
    <x v="18"/>
    <x v="19"/>
    <x v="5"/>
    <x v="10"/>
  </r>
  <r>
    <x v="56"/>
    <x v="16"/>
    <x v="53"/>
    <x v="54"/>
    <x v="5"/>
    <x v="8"/>
  </r>
  <r>
    <x v="56"/>
    <x v="16"/>
    <x v="22"/>
    <x v="28"/>
    <x v="5"/>
    <x v="12"/>
  </r>
  <r>
    <x v="56"/>
    <x v="16"/>
    <x v="39"/>
    <x v="31"/>
    <x v="5"/>
    <x v="12"/>
  </r>
  <r>
    <x v="1"/>
    <x v="16"/>
    <x v="36"/>
    <x v="46"/>
    <x v="3"/>
    <x v="2"/>
  </r>
  <r>
    <x v="1"/>
    <x v="16"/>
    <x v="38"/>
    <x v="30"/>
    <x v="3"/>
    <x v="3"/>
  </r>
  <r>
    <x v="1"/>
    <x v="16"/>
    <x v="24"/>
    <x v="25"/>
    <x v="3"/>
    <x v="3"/>
  </r>
  <r>
    <x v="1"/>
    <x v="16"/>
    <x v="42"/>
    <x v="13"/>
    <x v="3"/>
    <x v="8"/>
  </r>
  <r>
    <x v="38"/>
    <x v="17"/>
    <x v="58"/>
    <x v="58"/>
    <x v="22"/>
    <x v="23"/>
  </r>
  <r>
    <x v="38"/>
    <x v="17"/>
    <x v="16"/>
    <x v="16"/>
    <x v="3"/>
    <x v="3"/>
  </r>
  <r>
    <x v="38"/>
    <x v="17"/>
    <x v="17"/>
    <x v="17"/>
    <x v="3"/>
    <x v="33"/>
  </r>
  <r>
    <x v="60"/>
    <x v="18"/>
    <x v="28"/>
    <x v="32"/>
    <x v="53"/>
    <x v="89"/>
  </r>
  <r>
    <x v="78"/>
    <x v="18"/>
    <x v="23"/>
    <x v="26"/>
    <x v="19"/>
    <x v="58"/>
  </r>
  <r>
    <x v="78"/>
    <x v="18"/>
    <x v="8"/>
    <x v="7"/>
    <x v="22"/>
    <x v="33"/>
  </r>
  <r>
    <x v="78"/>
    <x v="18"/>
    <x v="11"/>
    <x v="11"/>
    <x v="22"/>
    <x v="33"/>
  </r>
  <r>
    <x v="78"/>
    <x v="18"/>
    <x v="16"/>
    <x v="16"/>
    <x v="22"/>
    <x v="23"/>
  </r>
  <r>
    <x v="78"/>
    <x v="18"/>
    <x v="18"/>
    <x v="19"/>
    <x v="22"/>
    <x v="22"/>
  </r>
  <r>
    <x v="78"/>
    <x v="18"/>
    <x v="20"/>
    <x v="20"/>
    <x v="22"/>
    <x v="35"/>
  </r>
  <r>
    <x v="28"/>
    <x v="18"/>
    <x v="12"/>
    <x v="12"/>
    <x v="31"/>
    <x v="66"/>
  </r>
  <r>
    <x v="0"/>
    <x v="18"/>
    <x v="10"/>
    <x v="10"/>
    <x v="25"/>
    <x v="26"/>
  </r>
  <r>
    <x v="0"/>
    <x v="18"/>
    <x v="8"/>
    <x v="7"/>
    <x v="22"/>
    <x v="33"/>
  </r>
  <r>
    <x v="0"/>
    <x v="18"/>
    <x v="16"/>
    <x v="16"/>
    <x v="35"/>
    <x v="56"/>
  </r>
  <r>
    <x v="0"/>
    <x v="18"/>
    <x v="18"/>
    <x v="19"/>
    <x v="31"/>
    <x v="37"/>
  </r>
  <r>
    <x v="0"/>
    <x v="18"/>
    <x v="58"/>
    <x v="58"/>
    <x v="31"/>
    <x v="38"/>
  </r>
  <r>
    <x v="0"/>
    <x v="18"/>
    <x v="36"/>
    <x v="46"/>
    <x v="41"/>
    <x v="61"/>
  </r>
  <r>
    <x v="0"/>
    <x v="18"/>
    <x v="53"/>
    <x v="54"/>
    <x v="44"/>
    <x v="66"/>
  </r>
  <r>
    <x v="0"/>
    <x v="18"/>
    <x v="54"/>
    <x v="56"/>
    <x v="18"/>
    <x v="33"/>
  </r>
  <r>
    <x v="0"/>
    <x v="18"/>
    <x v="21"/>
    <x v="27"/>
    <x v="25"/>
    <x v="26"/>
  </r>
  <r>
    <x v="0"/>
    <x v="18"/>
    <x v="33"/>
    <x v="44"/>
    <x v="5"/>
    <x v="14"/>
  </r>
  <r>
    <x v="11"/>
    <x v="18"/>
    <x v="3"/>
    <x v="2"/>
    <x v="28"/>
    <x v="34"/>
  </r>
  <r>
    <x v="11"/>
    <x v="18"/>
    <x v="58"/>
    <x v="58"/>
    <x v="29"/>
    <x v="33"/>
  </r>
  <r>
    <x v="11"/>
    <x v="18"/>
    <x v="33"/>
    <x v="44"/>
    <x v="5"/>
    <x v="14"/>
  </r>
  <r>
    <x v="10"/>
    <x v="18"/>
    <x v="27"/>
    <x v="34"/>
    <x v="41"/>
    <x v="72"/>
  </r>
  <r>
    <x v="10"/>
    <x v="18"/>
    <x v="1"/>
    <x v="1"/>
    <x v="31"/>
    <x v="72"/>
  </r>
  <r>
    <x v="10"/>
    <x v="18"/>
    <x v="31"/>
    <x v="42"/>
    <x v="25"/>
    <x v="49"/>
  </r>
  <r>
    <x v="38"/>
    <x v="18"/>
    <x v="18"/>
    <x v="19"/>
    <x v="34"/>
    <x v="54"/>
  </r>
  <r>
    <x v="38"/>
    <x v="18"/>
    <x v="58"/>
    <x v="58"/>
    <x v="31"/>
    <x v="38"/>
  </r>
  <r>
    <x v="38"/>
    <x v="18"/>
    <x v="3"/>
    <x v="2"/>
    <x v="25"/>
    <x v="32"/>
  </r>
  <r>
    <x v="38"/>
    <x v="18"/>
    <x v="16"/>
    <x v="16"/>
    <x v="15"/>
    <x v="17"/>
  </r>
  <r>
    <x v="49"/>
    <x v="18"/>
    <x v="36"/>
    <x v="46"/>
    <x v="3"/>
    <x v="2"/>
  </r>
  <r>
    <x v="49"/>
    <x v="18"/>
    <x v="35"/>
    <x v="45"/>
    <x v="3"/>
    <x v="3"/>
  </r>
  <r>
    <x v="49"/>
    <x v="18"/>
    <x v="3"/>
    <x v="2"/>
    <x v="5"/>
    <x v="13"/>
  </r>
  <r>
    <x v="49"/>
    <x v="18"/>
    <x v="10"/>
    <x v="10"/>
    <x v="3"/>
    <x v="3"/>
  </r>
  <r>
    <x v="49"/>
    <x v="18"/>
    <x v="7"/>
    <x v="6"/>
    <x v="3"/>
    <x v="3"/>
  </r>
  <r>
    <x v="49"/>
    <x v="18"/>
    <x v="18"/>
    <x v="19"/>
    <x v="3"/>
    <x v="2"/>
  </r>
  <r>
    <x v="49"/>
    <x v="18"/>
    <x v="6"/>
    <x v="5"/>
    <x v="3"/>
    <x v="0"/>
  </r>
  <r>
    <x v="70"/>
    <x v="18"/>
    <x v="57"/>
    <x v="57"/>
    <x v="50"/>
    <x v="85"/>
  </r>
  <r>
    <x v="18"/>
    <x v="18"/>
    <x v="22"/>
    <x v="28"/>
    <x v="3"/>
    <x v="4"/>
  </r>
  <r>
    <x v="18"/>
    <x v="18"/>
    <x v="14"/>
    <x v="15"/>
    <x v="15"/>
    <x v="17"/>
  </r>
  <r>
    <x v="18"/>
    <x v="18"/>
    <x v="34"/>
    <x v="22"/>
    <x v="3"/>
    <x v="3"/>
  </r>
  <r>
    <x v="55"/>
    <x v="19"/>
    <x v="9"/>
    <x v="8"/>
    <x v="32"/>
    <x v="71"/>
  </r>
  <r>
    <x v="55"/>
    <x v="19"/>
    <x v="12"/>
    <x v="12"/>
    <x v="32"/>
    <x v="71"/>
  </r>
  <r>
    <x v="55"/>
    <x v="19"/>
    <x v="18"/>
    <x v="19"/>
    <x v="32"/>
    <x v="44"/>
  </r>
  <r>
    <x v="27"/>
    <x v="19"/>
    <x v="11"/>
    <x v="11"/>
    <x v="25"/>
    <x v="37"/>
  </r>
  <r>
    <x v="27"/>
    <x v="19"/>
    <x v="10"/>
    <x v="10"/>
    <x v="5"/>
    <x v="11"/>
  </r>
  <r>
    <x v="27"/>
    <x v="19"/>
    <x v="8"/>
    <x v="7"/>
    <x v="25"/>
    <x v="37"/>
  </r>
  <r>
    <x v="27"/>
    <x v="19"/>
    <x v="7"/>
    <x v="6"/>
    <x v="5"/>
    <x v="11"/>
  </r>
  <r>
    <x v="27"/>
    <x v="19"/>
    <x v="18"/>
    <x v="19"/>
    <x v="25"/>
    <x v="25"/>
  </r>
  <r>
    <x v="27"/>
    <x v="19"/>
    <x v="16"/>
    <x v="16"/>
    <x v="5"/>
    <x v="11"/>
  </r>
  <r>
    <x v="27"/>
    <x v="19"/>
    <x v="20"/>
    <x v="20"/>
    <x v="5"/>
    <x v="13"/>
  </r>
  <r>
    <x v="27"/>
    <x v="19"/>
    <x v="58"/>
    <x v="58"/>
    <x v="25"/>
    <x v="26"/>
  </r>
  <r>
    <x v="27"/>
    <x v="19"/>
    <x v="3"/>
    <x v="2"/>
    <x v="25"/>
    <x v="32"/>
  </r>
  <r>
    <x v="27"/>
    <x v="19"/>
    <x v="35"/>
    <x v="45"/>
    <x v="5"/>
    <x v="11"/>
  </r>
  <r>
    <x v="27"/>
    <x v="19"/>
    <x v="6"/>
    <x v="5"/>
    <x v="5"/>
    <x v="4"/>
  </r>
  <r>
    <x v="27"/>
    <x v="19"/>
    <x v="27"/>
    <x v="34"/>
    <x v="18"/>
    <x v="33"/>
  </r>
  <r>
    <x v="27"/>
    <x v="19"/>
    <x v="33"/>
    <x v="44"/>
    <x v="18"/>
    <x v="24"/>
  </r>
  <r>
    <x v="27"/>
    <x v="19"/>
    <x v="42"/>
    <x v="13"/>
    <x v="18"/>
    <x v="27"/>
  </r>
  <r>
    <x v="45"/>
    <x v="18"/>
    <x v="53"/>
    <x v="54"/>
    <x v="22"/>
    <x v="21"/>
  </r>
  <r>
    <x v="45"/>
    <x v="18"/>
    <x v="6"/>
    <x v="5"/>
    <x v="15"/>
    <x v="9"/>
  </r>
  <r>
    <x v="62"/>
    <x v="19"/>
    <x v="28"/>
    <x v="32"/>
    <x v="45"/>
    <x v="82"/>
  </r>
  <r>
    <x v="66"/>
    <x v="19"/>
    <x v="27"/>
    <x v="34"/>
    <x v="3"/>
    <x v="11"/>
  </r>
  <r>
    <x v="66"/>
    <x v="19"/>
    <x v="53"/>
    <x v="54"/>
    <x v="3"/>
    <x v="1"/>
  </r>
  <r>
    <x v="66"/>
    <x v="19"/>
    <x v="2"/>
    <x v="0"/>
    <x v="3"/>
    <x v="3"/>
  </r>
  <r>
    <x v="66"/>
    <x v="19"/>
    <x v="58"/>
    <x v="58"/>
    <x v="3"/>
    <x v="3"/>
  </r>
  <r>
    <x v="66"/>
    <x v="19"/>
    <x v="35"/>
    <x v="45"/>
    <x v="3"/>
    <x v="3"/>
  </r>
  <r>
    <x v="66"/>
    <x v="19"/>
    <x v="6"/>
    <x v="5"/>
    <x v="3"/>
    <x v="0"/>
  </r>
  <r>
    <x v="66"/>
    <x v="19"/>
    <x v="11"/>
    <x v="11"/>
    <x v="3"/>
    <x v="8"/>
  </r>
  <r>
    <x v="66"/>
    <x v="19"/>
    <x v="8"/>
    <x v="7"/>
    <x v="3"/>
    <x v="8"/>
  </r>
  <r>
    <x v="7"/>
    <x v="19"/>
    <x v="27"/>
    <x v="34"/>
    <x v="3"/>
    <x v="11"/>
  </r>
  <r>
    <x v="7"/>
    <x v="19"/>
    <x v="53"/>
    <x v="54"/>
    <x v="3"/>
    <x v="1"/>
  </r>
  <r>
    <x v="7"/>
    <x v="19"/>
    <x v="2"/>
    <x v="0"/>
    <x v="3"/>
    <x v="3"/>
  </r>
  <r>
    <x v="7"/>
    <x v="19"/>
    <x v="58"/>
    <x v="58"/>
    <x v="3"/>
    <x v="3"/>
  </r>
  <r>
    <x v="7"/>
    <x v="19"/>
    <x v="35"/>
    <x v="45"/>
    <x v="3"/>
    <x v="3"/>
  </r>
  <r>
    <x v="7"/>
    <x v="19"/>
    <x v="6"/>
    <x v="5"/>
    <x v="3"/>
    <x v="0"/>
  </r>
  <r>
    <x v="7"/>
    <x v="19"/>
    <x v="11"/>
    <x v="11"/>
    <x v="3"/>
    <x v="8"/>
  </r>
  <r>
    <x v="7"/>
    <x v="19"/>
    <x v="8"/>
    <x v="7"/>
    <x v="3"/>
    <x v="56"/>
  </r>
  <r>
    <x v="7"/>
    <x v="19"/>
    <x v="46"/>
    <x v="36"/>
    <x v="3"/>
    <x v="3"/>
  </r>
  <r>
    <x v="7"/>
    <x v="19"/>
    <x v="44"/>
    <x v="39"/>
    <x v="3"/>
    <x v="3"/>
  </r>
  <r>
    <x v="7"/>
    <x v="19"/>
    <x v="38"/>
    <x v="30"/>
    <x v="3"/>
    <x v="3"/>
  </r>
  <r>
    <x v="68"/>
    <x v="19"/>
    <x v="27"/>
    <x v="34"/>
    <x v="5"/>
    <x v="21"/>
  </r>
  <r>
    <x v="68"/>
    <x v="19"/>
    <x v="17"/>
    <x v="17"/>
    <x v="2"/>
    <x v="21"/>
  </r>
  <r>
    <x v="68"/>
    <x v="19"/>
    <x v="58"/>
    <x v="58"/>
    <x v="5"/>
    <x v="11"/>
  </r>
  <r>
    <x v="68"/>
    <x v="19"/>
    <x v="49"/>
    <x v="50"/>
    <x v="5"/>
    <x v="8"/>
  </r>
  <r>
    <x v="68"/>
    <x v="19"/>
    <x v="43"/>
    <x v="14"/>
    <x v="3"/>
    <x v="12"/>
  </r>
  <r>
    <x v="3"/>
    <x v="19"/>
    <x v="11"/>
    <x v="11"/>
    <x v="3"/>
    <x v="8"/>
  </r>
  <r>
    <x v="3"/>
    <x v="19"/>
    <x v="10"/>
    <x v="10"/>
    <x v="3"/>
    <x v="3"/>
  </r>
  <r>
    <x v="3"/>
    <x v="19"/>
    <x v="8"/>
    <x v="7"/>
    <x v="3"/>
    <x v="8"/>
  </r>
  <r>
    <x v="3"/>
    <x v="19"/>
    <x v="7"/>
    <x v="6"/>
    <x v="3"/>
    <x v="3"/>
  </r>
  <r>
    <x v="3"/>
    <x v="19"/>
    <x v="42"/>
    <x v="13"/>
    <x v="3"/>
    <x v="8"/>
  </r>
  <r>
    <x v="3"/>
    <x v="19"/>
    <x v="18"/>
    <x v="19"/>
    <x v="3"/>
    <x v="3"/>
  </r>
  <r>
    <x v="3"/>
    <x v="19"/>
    <x v="16"/>
    <x v="16"/>
    <x v="3"/>
    <x v="3"/>
  </r>
  <r>
    <x v="3"/>
    <x v="19"/>
    <x v="20"/>
    <x v="20"/>
    <x v="3"/>
    <x v="9"/>
  </r>
  <r>
    <x v="3"/>
    <x v="19"/>
    <x v="3"/>
    <x v="2"/>
    <x v="3"/>
    <x v="5"/>
  </r>
  <r>
    <x v="3"/>
    <x v="19"/>
    <x v="6"/>
    <x v="5"/>
    <x v="3"/>
    <x v="0"/>
  </r>
  <r>
    <x v="3"/>
    <x v="19"/>
    <x v="21"/>
    <x v="27"/>
    <x v="3"/>
    <x v="3"/>
  </r>
  <r>
    <x v="3"/>
    <x v="19"/>
    <x v="24"/>
    <x v="25"/>
    <x v="3"/>
    <x v="3"/>
  </r>
  <r>
    <x v="3"/>
    <x v="19"/>
    <x v="26"/>
    <x v="33"/>
    <x v="3"/>
    <x v="3"/>
  </r>
  <r>
    <x v="3"/>
    <x v="19"/>
    <x v="50"/>
    <x v="51"/>
    <x v="3"/>
    <x v="3"/>
  </r>
  <r>
    <x v="3"/>
    <x v="19"/>
    <x v="53"/>
    <x v="54"/>
    <x v="3"/>
    <x v="1"/>
  </r>
  <r>
    <x v="3"/>
    <x v="19"/>
    <x v="35"/>
    <x v="45"/>
    <x v="3"/>
    <x v="3"/>
  </r>
  <r>
    <x v="3"/>
    <x v="19"/>
    <x v="58"/>
    <x v="58"/>
    <x v="3"/>
    <x v="3"/>
  </r>
  <r>
    <x v="3"/>
    <x v="19"/>
    <x v="46"/>
    <x v="36"/>
    <x v="3"/>
    <x v="3"/>
  </r>
  <r>
    <x v="3"/>
    <x v="19"/>
    <x v="44"/>
    <x v="39"/>
    <x v="3"/>
    <x v="80"/>
  </r>
  <r>
    <x v="3"/>
    <x v="19"/>
    <x v="38"/>
    <x v="30"/>
    <x v="3"/>
    <x v="3"/>
  </r>
  <r>
    <x v="3"/>
    <x v="19"/>
    <x v="11"/>
    <x v="11"/>
    <x v="3"/>
    <x v="8"/>
  </r>
  <r>
    <x v="3"/>
    <x v="19"/>
    <x v="10"/>
    <x v="10"/>
    <x v="3"/>
    <x v="3"/>
  </r>
  <r>
    <x v="80"/>
    <x v="19"/>
    <x v="8"/>
    <x v="7"/>
    <x v="3"/>
    <x v="8"/>
  </r>
  <r>
    <x v="80"/>
    <x v="19"/>
    <x v="7"/>
    <x v="6"/>
    <x v="3"/>
    <x v="3"/>
  </r>
  <r>
    <x v="80"/>
    <x v="19"/>
    <x v="42"/>
    <x v="13"/>
    <x v="3"/>
    <x v="8"/>
  </r>
  <r>
    <x v="80"/>
    <x v="19"/>
    <x v="18"/>
    <x v="19"/>
    <x v="3"/>
    <x v="3"/>
  </r>
  <r>
    <x v="80"/>
    <x v="19"/>
    <x v="16"/>
    <x v="16"/>
    <x v="3"/>
    <x v="3"/>
  </r>
  <r>
    <x v="80"/>
    <x v="19"/>
    <x v="20"/>
    <x v="20"/>
    <x v="3"/>
    <x v="9"/>
  </r>
  <r>
    <x v="80"/>
    <x v="19"/>
    <x v="3"/>
    <x v="2"/>
    <x v="3"/>
    <x v="5"/>
  </r>
  <r>
    <x v="80"/>
    <x v="19"/>
    <x v="6"/>
    <x v="5"/>
    <x v="3"/>
    <x v="0"/>
  </r>
  <r>
    <x v="80"/>
    <x v="19"/>
    <x v="21"/>
    <x v="27"/>
    <x v="3"/>
    <x v="3"/>
  </r>
  <r>
    <x v="80"/>
    <x v="19"/>
    <x v="24"/>
    <x v="25"/>
    <x v="3"/>
    <x v="3"/>
  </r>
  <r>
    <x v="80"/>
    <x v="19"/>
    <x v="26"/>
    <x v="33"/>
    <x v="3"/>
    <x v="3"/>
  </r>
  <r>
    <x v="80"/>
    <x v="19"/>
    <x v="50"/>
    <x v="51"/>
    <x v="3"/>
    <x v="3"/>
  </r>
  <r>
    <x v="80"/>
    <x v="19"/>
    <x v="53"/>
    <x v="54"/>
    <x v="3"/>
    <x v="1"/>
  </r>
  <r>
    <x v="80"/>
    <x v="19"/>
    <x v="35"/>
    <x v="45"/>
    <x v="3"/>
    <x v="3"/>
  </r>
  <r>
    <x v="80"/>
    <x v="19"/>
    <x v="58"/>
    <x v="58"/>
    <x v="3"/>
    <x v="3"/>
  </r>
  <r>
    <x v="80"/>
    <x v="19"/>
    <x v="46"/>
    <x v="36"/>
    <x v="3"/>
    <x v="3"/>
  </r>
  <r>
    <x v="80"/>
    <x v="19"/>
    <x v="44"/>
    <x v="39"/>
    <x v="3"/>
    <x v="3"/>
  </r>
  <r>
    <x v="80"/>
    <x v="19"/>
    <x v="38"/>
    <x v="30"/>
    <x v="3"/>
    <x v="3"/>
  </r>
  <r>
    <x v="48"/>
    <x v="19"/>
    <x v="11"/>
    <x v="11"/>
    <x v="3"/>
    <x v="8"/>
  </r>
  <r>
    <x v="48"/>
    <x v="19"/>
    <x v="8"/>
    <x v="7"/>
    <x v="3"/>
    <x v="8"/>
  </r>
  <r>
    <x v="23"/>
    <x v="19"/>
    <x v="28"/>
    <x v="32"/>
    <x v="39"/>
    <x v="76"/>
  </r>
  <r>
    <x v="39"/>
    <x v="19"/>
    <x v="12"/>
    <x v="12"/>
    <x v="3"/>
    <x v="12"/>
  </r>
  <r>
    <x v="39"/>
    <x v="19"/>
    <x v="11"/>
    <x v="11"/>
    <x v="5"/>
    <x v="18"/>
  </r>
  <r>
    <x v="39"/>
    <x v="19"/>
    <x v="8"/>
    <x v="7"/>
    <x v="5"/>
    <x v="18"/>
  </r>
  <r>
    <x v="39"/>
    <x v="19"/>
    <x v="6"/>
    <x v="5"/>
    <x v="5"/>
    <x v="4"/>
  </r>
  <r>
    <x v="39"/>
    <x v="19"/>
    <x v="24"/>
    <x v="25"/>
    <x v="3"/>
    <x v="3"/>
  </r>
  <r>
    <x v="39"/>
    <x v="19"/>
    <x v="49"/>
    <x v="50"/>
    <x v="5"/>
    <x v="8"/>
  </r>
  <r>
    <x v="39"/>
    <x v="19"/>
    <x v="42"/>
    <x v="13"/>
    <x v="5"/>
    <x v="18"/>
  </r>
  <r>
    <x v="52"/>
    <x v="19"/>
    <x v="18"/>
    <x v="19"/>
    <x v="3"/>
    <x v="2"/>
  </r>
  <r>
    <x v="52"/>
    <x v="19"/>
    <x v="3"/>
    <x v="2"/>
    <x v="3"/>
    <x v="5"/>
  </r>
  <r>
    <x v="52"/>
    <x v="19"/>
    <x v="53"/>
    <x v="54"/>
    <x v="3"/>
    <x v="1"/>
  </r>
  <r>
    <x v="52"/>
    <x v="19"/>
    <x v="12"/>
    <x v="12"/>
    <x v="3"/>
    <x v="12"/>
  </r>
  <r>
    <x v="64"/>
    <x v="19"/>
    <x v="11"/>
    <x v="11"/>
    <x v="3"/>
    <x v="8"/>
  </r>
  <r>
    <x v="64"/>
    <x v="19"/>
    <x v="10"/>
    <x v="10"/>
    <x v="3"/>
    <x v="3"/>
  </r>
  <r>
    <x v="64"/>
    <x v="19"/>
    <x v="8"/>
    <x v="7"/>
    <x v="3"/>
    <x v="8"/>
  </r>
  <r>
    <x v="64"/>
    <x v="19"/>
    <x v="7"/>
    <x v="6"/>
    <x v="3"/>
    <x v="3"/>
  </r>
  <r>
    <x v="64"/>
    <x v="19"/>
    <x v="42"/>
    <x v="13"/>
    <x v="3"/>
    <x v="8"/>
  </r>
  <r>
    <x v="64"/>
    <x v="19"/>
    <x v="20"/>
    <x v="20"/>
    <x v="3"/>
    <x v="9"/>
  </r>
  <r>
    <x v="64"/>
    <x v="19"/>
    <x v="18"/>
    <x v="19"/>
    <x v="3"/>
    <x v="3"/>
  </r>
  <r>
    <x v="64"/>
    <x v="19"/>
    <x v="16"/>
    <x v="16"/>
    <x v="3"/>
    <x v="3"/>
  </r>
  <r>
    <x v="64"/>
    <x v="19"/>
    <x v="3"/>
    <x v="2"/>
    <x v="3"/>
    <x v="5"/>
  </r>
  <r>
    <x v="64"/>
    <x v="19"/>
    <x v="6"/>
    <x v="5"/>
    <x v="3"/>
    <x v="0"/>
  </r>
  <r>
    <x v="64"/>
    <x v="19"/>
    <x v="33"/>
    <x v="44"/>
    <x v="3"/>
    <x v="6"/>
  </r>
  <r>
    <x v="64"/>
    <x v="19"/>
    <x v="22"/>
    <x v="28"/>
    <x v="3"/>
    <x v="4"/>
  </r>
  <r>
    <x v="64"/>
    <x v="19"/>
    <x v="26"/>
    <x v="33"/>
    <x v="3"/>
    <x v="3"/>
  </r>
  <r>
    <x v="64"/>
    <x v="19"/>
    <x v="24"/>
    <x v="25"/>
    <x v="3"/>
    <x v="3"/>
  </r>
  <r>
    <x v="64"/>
    <x v="19"/>
    <x v="50"/>
    <x v="51"/>
    <x v="3"/>
    <x v="3"/>
  </r>
  <r>
    <x v="64"/>
    <x v="19"/>
    <x v="53"/>
    <x v="54"/>
    <x v="3"/>
    <x v="1"/>
  </r>
  <r>
    <x v="64"/>
    <x v="19"/>
    <x v="36"/>
    <x v="46"/>
    <x v="3"/>
    <x v="2"/>
  </r>
  <r>
    <x v="64"/>
    <x v="19"/>
    <x v="35"/>
    <x v="45"/>
    <x v="3"/>
    <x v="3"/>
  </r>
  <r>
    <x v="64"/>
    <x v="19"/>
    <x v="58"/>
    <x v="58"/>
    <x v="3"/>
    <x v="3"/>
  </r>
  <r>
    <x v="64"/>
    <x v="19"/>
    <x v="44"/>
    <x v="39"/>
    <x v="3"/>
    <x v="3"/>
  </r>
  <r>
    <x v="64"/>
    <x v="19"/>
    <x v="46"/>
    <x v="36"/>
    <x v="3"/>
    <x v="3"/>
  </r>
  <r>
    <x v="64"/>
    <x v="19"/>
    <x v="38"/>
    <x v="30"/>
    <x v="3"/>
    <x v="3"/>
  </r>
  <r>
    <x v="71"/>
    <x v="19"/>
    <x v="11"/>
    <x v="11"/>
    <x v="3"/>
    <x v="8"/>
  </r>
  <r>
    <x v="71"/>
    <x v="19"/>
    <x v="10"/>
    <x v="10"/>
    <x v="3"/>
    <x v="3"/>
  </r>
  <r>
    <x v="71"/>
    <x v="19"/>
    <x v="8"/>
    <x v="7"/>
    <x v="3"/>
    <x v="8"/>
  </r>
  <r>
    <x v="71"/>
    <x v="19"/>
    <x v="7"/>
    <x v="6"/>
    <x v="3"/>
    <x v="3"/>
  </r>
  <r>
    <x v="71"/>
    <x v="19"/>
    <x v="42"/>
    <x v="13"/>
    <x v="3"/>
    <x v="8"/>
  </r>
  <r>
    <x v="71"/>
    <x v="19"/>
    <x v="20"/>
    <x v="20"/>
    <x v="3"/>
    <x v="9"/>
  </r>
  <r>
    <x v="71"/>
    <x v="19"/>
    <x v="18"/>
    <x v="19"/>
    <x v="3"/>
    <x v="3"/>
  </r>
  <r>
    <x v="71"/>
    <x v="19"/>
    <x v="16"/>
    <x v="16"/>
    <x v="3"/>
    <x v="3"/>
  </r>
  <r>
    <x v="71"/>
    <x v="19"/>
    <x v="3"/>
    <x v="2"/>
    <x v="3"/>
    <x v="5"/>
  </r>
  <r>
    <x v="71"/>
    <x v="19"/>
    <x v="6"/>
    <x v="5"/>
    <x v="3"/>
    <x v="0"/>
  </r>
  <r>
    <x v="71"/>
    <x v="19"/>
    <x v="33"/>
    <x v="44"/>
    <x v="3"/>
    <x v="6"/>
  </r>
  <r>
    <x v="71"/>
    <x v="19"/>
    <x v="22"/>
    <x v="28"/>
    <x v="3"/>
    <x v="4"/>
  </r>
  <r>
    <x v="71"/>
    <x v="19"/>
    <x v="26"/>
    <x v="33"/>
    <x v="3"/>
    <x v="3"/>
  </r>
  <r>
    <x v="71"/>
    <x v="19"/>
    <x v="24"/>
    <x v="25"/>
    <x v="3"/>
    <x v="3"/>
  </r>
  <r>
    <x v="71"/>
    <x v="19"/>
    <x v="50"/>
    <x v="51"/>
    <x v="3"/>
    <x v="3"/>
  </r>
  <r>
    <x v="71"/>
    <x v="19"/>
    <x v="53"/>
    <x v="54"/>
    <x v="3"/>
    <x v="1"/>
  </r>
  <r>
    <x v="71"/>
    <x v="19"/>
    <x v="36"/>
    <x v="46"/>
    <x v="3"/>
    <x v="2"/>
  </r>
  <r>
    <x v="71"/>
    <x v="19"/>
    <x v="35"/>
    <x v="45"/>
    <x v="3"/>
    <x v="3"/>
  </r>
  <r>
    <x v="71"/>
    <x v="19"/>
    <x v="58"/>
    <x v="58"/>
    <x v="3"/>
    <x v="3"/>
  </r>
  <r>
    <x v="71"/>
    <x v="19"/>
    <x v="44"/>
    <x v="39"/>
    <x v="3"/>
    <x v="3"/>
  </r>
  <r>
    <x v="71"/>
    <x v="19"/>
    <x v="46"/>
    <x v="36"/>
    <x v="3"/>
    <x v="3"/>
  </r>
  <r>
    <x v="71"/>
    <x v="19"/>
    <x v="38"/>
    <x v="30"/>
    <x v="3"/>
    <x v="3"/>
  </r>
  <r>
    <x v="69"/>
    <x v="19"/>
    <x v="27"/>
    <x v="34"/>
    <x v="29"/>
    <x v="56"/>
  </r>
  <r>
    <x v="64"/>
    <x v="19"/>
    <x v="37"/>
    <x v="29"/>
    <x v="24"/>
    <x v="65"/>
  </r>
  <r>
    <x v="64"/>
    <x v="19"/>
    <x v="17"/>
    <x v="17"/>
    <x v="3"/>
    <x v="33"/>
  </r>
  <r>
    <x v="6"/>
    <x v="20"/>
    <x v="11"/>
    <x v="11"/>
    <x v="18"/>
    <x v="27"/>
  </r>
  <r>
    <x v="6"/>
    <x v="20"/>
    <x v="27"/>
    <x v="34"/>
    <x v="5"/>
    <x v="21"/>
  </r>
  <r>
    <x v="6"/>
    <x v="20"/>
    <x v="22"/>
    <x v="28"/>
    <x v="5"/>
    <x v="12"/>
  </r>
  <r>
    <x v="6"/>
    <x v="20"/>
    <x v="26"/>
    <x v="33"/>
    <x v="5"/>
    <x v="11"/>
  </r>
  <r>
    <x v="79"/>
    <x v="20"/>
    <x v="18"/>
    <x v="19"/>
    <x v="29"/>
    <x v="32"/>
  </r>
  <r>
    <x v="79"/>
    <x v="20"/>
    <x v="6"/>
    <x v="5"/>
    <x v="25"/>
    <x v="19"/>
  </r>
  <r>
    <x v="79"/>
    <x v="20"/>
    <x v="36"/>
    <x v="46"/>
    <x v="25"/>
    <x v="25"/>
  </r>
  <r>
    <x v="79"/>
    <x v="20"/>
    <x v="53"/>
    <x v="54"/>
    <x v="25"/>
    <x v="22"/>
  </r>
  <r>
    <x v="38"/>
    <x v="20"/>
    <x v="3"/>
    <x v="2"/>
    <x v="15"/>
    <x v="20"/>
  </r>
  <r>
    <x v="38"/>
    <x v="20"/>
    <x v="18"/>
    <x v="19"/>
    <x v="5"/>
    <x v="10"/>
  </r>
  <r>
    <x v="38"/>
    <x v="20"/>
    <x v="6"/>
    <x v="5"/>
    <x v="3"/>
    <x v="0"/>
  </r>
  <r>
    <x v="38"/>
    <x v="20"/>
    <x v="58"/>
    <x v="58"/>
    <x v="25"/>
    <x v="26"/>
  </r>
  <r>
    <x v="38"/>
    <x v="20"/>
    <x v="17"/>
    <x v="17"/>
    <x v="2"/>
    <x v="21"/>
  </r>
  <r>
    <x v="49"/>
    <x v="20"/>
    <x v="18"/>
    <x v="19"/>
    <x v="5"/>
    <x v="10"/>
  </r>
  <r>
    <x v="49"/>
    <x v="20"/>
    <x v="9"/>
    <x v="8"/>
    <x v="3"/>
    <x v="12"/>
  </r>
  <r>
    <x v="59"/>
    <x v="20"/>
    <x v="13"/>
    <x v="9"/>
    <x v="22"/>
    <x v="63"/>
  </r>
  <r>
    <x v="68"/>
    <x v="20"/>
    <x v="27"/>
    <x v="34"/>
    <x v="5"/>
    <x v="21"/>
  </r>
  <r>
    <x v="68"/>
    <x v="20"/>
    <x v="46"/>
    <x v="36"/>
    <x v="5"/>
    <x v="11"/>
  </r>
  <r>
    <x v="68"/>
    <x v="20"/>
    <x v="44"/>
    <x v="39"/>
    <x v="5"/>
    <x v="11"/>
  </r>
  <r>
    <x v="68"/>
    <x v="20"/>
    <x v="53"/>
    <x v="54"/>
    <x v="5"/>
    <x v="8"/>
  </r>
  <r>
    <x v="68"/>
    <x v="20"/>
    <x v="49"/>
    <x v="50"/>
    <x v="5"/>
    <x v="8"/>
  </r>
  <r>
    <x v="68"/>
    <x v="20"/>
    <x v="18"/>
    <x v="19"/>
    <x v="5"/>
    <x v="10"/>
  </r>
  <r>
    <x v="68"/>
    <x v="20"/>
    <x v="6"/>
    <x v="5"/>
    <x v="5"/>
    <x v="4"/>
  </r>
  <r>
    <x v="68"/>
    <x v="20"/>
    <x v="35"/>
    <x v="45"/>
    <x v="5"/>
    <x v="11"/>
  </r>
  <r>
    <x v="68"/>
    <x v="20"/>
    <x v="29"/>
    <x v="40"/>
    <x v="5"/>
    <x v="11"/>
  </r>
  <r>
    <x v="65"/>
    <x v="20"/>
    <x v="27"/>
    <x v="34"/>
    <x v="3"/>
    <x v="11"/>
  </r>
  <r>
    <x v="65"/>
    <x v="20"/>
    <x v="11"/>
    <x v="11"/>
    <x v="3"/>
    <x v="8"/>
  </r>
  <r>
    <x v="65"/>
    <x v="20"/>
    <x v="53"/>
    <x v="54"/>
    <x v="3"/>
    <x v="1"/>
  </r>
  <r>
    <x v="65"/>
    <x v="20"/>
    <x v="49"/>
    <x v="50"/>
    <x v="3"/>
    <x v="1"/>
  </r>
  <r>
    <x v="65"/>
    <x v="20"/>
    <x v="38"/>
    <x v="30"/>
    <x v="3"/>
    <x v="3"/>
  </r>
  <r>
    <x v="35"/>
    <x v="20"/>
    <x v="18"/>
    <x v="19"/>
    <x v="3"/>
    <x v="2"/>
  </r>
  <r>
    <x v="35"/>
    <x v="20"/>
    <x v="16"/>
    <x v="16"/>
    <x v="3"/>
    <x v="3"/>
  </r>
  <r>
    <x v="35"/>
    <x v="20"/>
    <x v="6"/>
    <x v="5"/>
    <x v="3"/>
    <x v="0"/>
  </r>
  <r>
    <x v="35"/>
    <x v="20"/>
    <x v="38"/>
    <x v="30"/>
    <x v="3"/>
    <x v="3"/>
  </r>
  <r>
    <x v="35"/>
    <x v="20"/>
    <x v="42"/>
    <x v="13"/>
    <x v="3"/>
    <x v="8"/>
  </r>
  <r>
    <x v="34"/>
    <x v="20"/>
    <x v="13"/>
    <x v="9"/>
    <x v="3"/>
    <x v="21"/>
  </r>
  <r>
    <x v="34"/>
    <x v="20"/>
    <x v="29"/>
    <x v="40"/>
    <x v="3"/>
    <x v="3"/>
  </r>
  <r>
    <x v="48"/>
    <x v="20"/>
    <x v="24"/>
    <x v="25"/>
    <x v="15"/>
    <x v="17"/>
  </r>
  <r>
    <x v="48"/>
    <x v="20"/>
    <x v="38"/>
    <x v="30"/>
    <x v="15"/>
    <x v="17"/>
  </r>
  <r>
    <x v="48"/>
    <x v="20"/>
    <x v="18"/>
    <x v="19"/>
    <x v="15"/>
    <x v="16"/>
  </r>
  <r>
    <x v="48"/>
    <x v="20"/>
    <x v="8"/>
    <x v="7"/>
    <x v="15"/>
    <x v="22"/>
  </r>
  <r>
    <x v="25"/>
    <x v="20"/>
    <x v="13"/>
    <x v="9"/>
    <x v="34"/>
    <x v="73"/>
  </r>
  <r>
    <x v="25"/>
    <x v="20"/>
    <x v="27"/>
    <x v="34"/>
    <x v="29"/>
    <x v="56"/>
  </r>
  <r>
    <x v="25"/>
    <x v="20"/>
    <x v="51"/>
    <x v="52"/>
    <x v="32"/>
    <x v="66"/>
  </r>
  <r>
    <x v="25"/>
    <x v="20"/>
    <x v="17"/>
    <x v="17"/>
    <x v="46"/>
    <x v="86"/>
  </r>
  <r>
    <x v="25"/>
    <x v="20"/>
    <x v="29"/>
    <x v="40"/>
    <x v="18"/>
    <x v="21"/>
  </r>
  <r>
    <x v="33"/>
    <x v="20"/>
    <x v="51"/>
    <x v="52"/>
    <x v="51"/>
    <x v="81"/>
  </r>
  <r>
    <x v="67"/>
    <x v="20"/>
    <x v="54"/>
    <x v="56"/>
    <x v="22"/>
    <x v="38"/>
  </r>
  <r>
    <x v="41"/>
    <x v="21"/>
    <x v="8"/>
    <x v="7"/>
    <x v="25"/>
    <x v="37"/>
  </r>
  <r>
    <x v="41"/>
    <x v="21"/>
    <x v="27"/>
    <x v="34"/>
    <x v="25"/>
    <x v="49"/>
  </r>
  <r>
    <x v="41"/>
    <x v="21"/>
    <x v="6"/>
    <x v="5"/>
    <x v="25"/>
    <x v="19"/>
  </r>
  <r>
    <x v="41"/>
    <x v="21"/>
    <x v="11"/>
    <x v="11"/>
    <x v="36"/>
    <x v="71"/>
  </r>
  <r>
    <x v="41"/>
    <x v="21"/>
    <x v="36"/>
    <x v="46"/>
    <x v="18"/>
    <x v="20"/>
  </r>
  <r>
    <x v="45"/>
    <x v="21"/>
    <x v="18"/>
    <x v="19"/>
    <x v="5"/>
    <x v="10"/>
  </r>
  <r>
    <x v="45"/>
    <x v="21"/>
    <x v="6"/>
    <x v="5"/>
    <x v="22"/>
    <x v="17"/>
  </r>
  <r>
    <x v="21"/>
    <x v="21"/>
    <x v="12"/>
    <x v="12"/>
    <x v="18"/>
    <x v="37"/>
  </r>
  <r>
    <x v="21"/>
    <x v="21"/>
    <x v="9"/>
    <x v="8"/>
    <x v="28"/>
    <x v="57"/>
  </r>
  <r>
    <x v="21"/>
    <x v="21"/>
    <x v="8"/>
    <x v="7"/>
    <x v="25"/>
    <x v="37"/>
  </r>
  <r>
    <x v="21"/>
    <x v="21"/>
    <x v="3"/>
    <x v="2"/>
    <x v="31"/>
    <x v="52"/>
  </r>
  <r>
    <x v="21"/>
    <x v="21"/>
    <x v="58"/>
    <x v="58"/>
    <x v="30"/>
    <x v="35"/>
  </r>
  <r>
    <x v="21"/>
    <x v="21"/>
    <x v="18"/>
    <x v="19"/>
    <x v="31"/>
    <x v="37"/>
  </r>
  <r>
    <x v="21"/>
    <x v="21"/>
    <x v="16"/>
    <x v="16"/>
    <x v="15"/>
    <x v="17"/>
  </r>
  <r>
    <x v="21"/>
    <x v="21"/>
    <x v="6"/>
    <x v="5"/>
    <x v="31"/>
    <x v="26"/>
  </r>
  <r>
    <x v="21"/>
    <x v="21"/>
    <x v="36"/>
    <x v="46"/>
    <x v="25"/>
    <x v="25"/>
  </r>
  <r>
    <x v="21"/>
    <x v="21"/>
    <x v="53"/>
    <x v="54"/>
    <x v="22"/>
    <x v="21"/>
  </r>
  <r>
    <x v="21"/>
    <x v="21"/>
    <x v="49"/>
    <x v="50"/>
    <x v="31"/>
    <x v="33"/>
  </r>
  <r>
    <x v="21"/>
    <x v="21"/>
    <x v="22"/>
    <x v="28"/>
    <x v="31"/>
    <x v="49"/>
  </r>
  <r>
    <x v="21"/>
    <x v="21"/>
    <x v="24"/>
    <x v="25"/>
    <x v="15"/>
    <x v="17"/>
  </r>
  <r>
    <x v="21"/>
    <x v="21"/>
    <x v="44"/>
    <x v="39"/>
    <x v="3"/>
    <x v="3"/>
  </r>
  <r>
    <x v="21"/>
    <x v="21"/>
    <x v="47"/>
    <x v="37"/>
    <x v="18"/>
    <x v="22"/>
  </r>
  <r>
    <x v="21"/>
    <x v="21"/>
    <x v="38"/>
    <x v="30"/>
    <x v="15"/>
    <x v="17"/>
  </r>
  <r>
    <x v="21"/>
    <x v="18"/>
    <x v="49"/>
    <x v="50"/>
    <x v="22"/>
    <x v="21"/>
  </r>
  <r>
    <x v="21"/>
    <x v="18"/>
    <x v="20"/>
    <x v="20"/>
    <x v="31"/>
    <x v="59"/>
  </r>
  <r>
    <x v="21"/>
    <x v="18"/>
    <x v="33"/>
    <x v="44"/>
    <x v="22"/>
    <x v="29"/>
  </r>
  <r>
    <x v="83"/>
    <x v="21"/>
    <x v="28"/>
    <x v="32"/>
    <x v="17"/>
    <x v="53"/>
  </r>
  <r>
    <x v="83"/>
    <x v="21"/>
    <x v="58"/>
    <x v="58"/>
    <x v="3"/>
    <x v="3"/>
  </r>
  <r>
    <x v="84"/>
    <x v="21"/>
    <x v="53"/>
    <x v="54"/>
    <x v="3"/>
    <x v="1"/>
  </r>
  <r>
    <x v="84"/>
    <x v="21"/>
    <x v="6"/>
    <x v="5"/>
    <x v="3"/>
    <x v="73"/>
  </r>
  <r>
    <x v="84"/>
    <x v="21"/>
    <x v="18"/>
    <x v="19"/>
    <x v="3"/>
    <x v="2"/>
  </r>
  <r>
    <x v="84"/>
    <x v="21"/>
    <x v="16"/>
    <x v="16"/>
    <x v="3"/>
    <x v="3"/>
  </r>
  <r>
    <x v="84"/>
    <x v="21"/>
    <x v="35"/>
    <x v="45"/>
    <x v="3"/>
    <x v="3"/>
  </r>
  <r>
    <x v="84"/>
    <x v="21"/>
    <x v="10"/>
    <x v="10"/>
    <x v="3"/>
    <x v="3"/>
  </r>
  <r>
    <x v="84"/>
    <x v="21"/>
    <x v="7"/>
    <x v="6"/>
    <x v="3"/>
    <x v="3"/>
  </r>
  <r>
    <x v="50"/>
    <x v="21"/>
    <x v="42"/>
    <x v="13"/>
    <x v="3"/>
    <x v="8"/>
  </r>
  <r>
    <x v="50"/>
    <x v="21"/>
    <x v="43"/>
    <x v="14"/>
    <x v="3"/>
    <x v="12"/>
  </r>
  <r>
    <x v="31"/>
    <x v="21"/>
    <x v="44"/>
    <x v="39"/>
    <x v="3"/>
    <x v="3"/>
  </r>
  <r>
    <x v="31"/>
    <x v="21"/>
    <x v="38"/>
    <x v="30"/>
    <x v="3"/>
    <x v="3"/>
  </r>
  <r>
    <x v="47"/>
    <x v="21"/>
    <x v="21"/>
    <x v="27"/>
    <x v="5"/>
    <x v="11"/>
  </r>
  <r>
    <x v="47"/>
    <x v="21"/>
    <x v="38"/>
    <x v="30"/>
    <x v="5"/>
    <x v="11"/>
  </r>
  <r>
    <x v="0"/>
    <x v="22"/>
    <x v="27"/>
    <x v="34"/>
    <x v="33"/>
    <x v="69"/>
  </r>
  <r>
    <x v="0"/>
    <x v="22"/>
    <x v="53"/>
    <x v="54"/>
    <x v="44"/>
    <x v="66"/>
  </r>
  <r>
    <x v="0"/>
    <x v="22"/>
    <x v="54"/>
    <x v="56"/>
    <x v="29"/>
    <x v="56"/>
  </r>
  <r>
    <x v="0"/>
    <x v="22"/>
    <x v="24"/>
    <x v="25"/>
    <x v="32"/>
    <x v="49"/>
  </r>
  <r>
    <x v="0"/>
    <x v="22"/>
    <x v="58"/>
    <x v="58"/>
    <x v="32"/>
    <x v="49"/>
  </r>
  <r>
    <x v="0"/>
    <x v="22"/>
    <x v="10"/>
    <x v="10"/>
    <x v="29"/>
    <x v="33"/>
  </r>
  <r>
    <x v="0"/>
    <x v="22"/>
    <x v="21"/>
    <x v="27"/>
    <x v="32"/>
    <x v="49"/>
  </r>
  <r>
    <x v="0"/>
    <x v="22"/>
    <x v="36"/>
    <x v="46"/>
    <x v="31"/>
    <x v="37"/>
  </r>
  <r>
    <x v="0"/>
    <x v="22"/>
    <x v="6"/>
    <x v="5"/>
    <x v="18"/>
    <x v="12"/>
  </r>
  <r>
    <x v="0"/>
    <x v="22"/>
    <x v="9"/>
    <x v="8"/>
    <x v="25"/>
    <x v="54"/>
  </r>
  <r>
    <x v="53"/>
    <x v="22"/>
    <x v="9"/>
    <x v="8"/>
    <x v="3"/>
    <x v="12"/>
  </r>
  <r>
    <x v="53"/>
    <x v="22"/>
    <x v="12"/>
    <x v="12"/>
    <x v="3"/>
    <x v="12"/>
  </r>
  <r>
    <x v="53"/>
    <x v="22"/>
    <x v="3"/>
    <x v="2"/>
    <x v="3"/>
    <x v="5"/>
  </r>
  <r>
    <x v="53"/>
    <x v="22"/>
    <x v="53"/>
    <x v="54"/>
    <x v="5"/>
    <x v="8"/>
  </r>
  <r>
    <x v="53"/>
    <x v="22"/>
    <x v="18"/>
    <x v="19"/>
    <x v="5"/>
    <x v="10"/>
  </r>
  <r>
    <x v="54"/>
    <x v="22"/>
    <x v="42"/>
    <x v="13"/>
    <x v="3"/>
    <x v="8"/>
  </r>
  <r>
    <x v="54"/>
    <x v="22"/>
    <x v="16"/>
    <x v="16"/>
    <x v="5"/>
    <x v="11"/>
  </r>
  <r>
    <x v="63"/>
    <x v="22"/>
    <x v="37"/>
    <x v="29"/>
    <x v="23"/>
    <x v="64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pivotTable1.xml><?xml version="1.0" encoding="utf-8"?>
<pivotTableDefinition xmlns="http://schemas.openxmlformats.org/spreadsheetml/2006/main" name="Tabla dinámica4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A9:C66" firstHeaderRow="1" firstDataRow="2" firstDataCol="1"/>
  <pivotFields count="6">
    <pivotField compact="0" showAll="0"/>
    <pivotField compact="0" showAll="0"/>
    <pivotField compact="0" showAll="0"/>
    <pivotField axis="axisRow" compact="0" showAll="0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t="default"/>
      </items>
    </pivotField>
    <pivotField dataField="1" compact="0" showAll="0"/>
    <pivotField dataField="1" compact="0" showAll="0"/>
  </pivotFields>
  <rowFields count="1">
    <field x="3"/>
  </rowFields>
  <colFields count="1">
    <field x="-2"/>
  </colFields>
  <dataFields count="2">
    <dataField name="Suma de Cantidad " fld="4" subtotal="sum" numFmtId="164"/>
    <dataField name="Suma de Kg" fld="5" subtotal="sum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3" cacheId="2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A3:A4" firstHeaderRow="1" firstDataRow="1" firstDataCol="0"/>
  <pivotFields count="6">
    <pivotField compact="0" showAll="0"/>
    <pivotField compact="0" showAll="0"/>
    <pivotField compact="0" showAll="0"/>
    <pivotField compact="0" showAll="0"/>
    <pivotField compact="0" showAll="0"/>
    <pivotField compact="0" showAll="0"/>
  </pivot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PRODUCTOS" displayName="PRODUCTOS" ref="A7:B80" headerRowCount="1" totalsRowCount="0" totalsRowShown="0">
  <tableColumns count="2">
    <tableColumn id="1" name="Código Productos "/>
    <tableColumn id="2" name="Descripción "/>
  </tableColumns>
</table>
</file>

<file path=xl/tables/table2.xml><?xml version="1.0" encoding="utf-8"?>
<table xmlns="http://schemas.openxmlformats.org/spreadsheetml/2006/main" id="2" name="SALIDAS" displayName="SALIDAS" ref="A6:E748" headerRowCount="1" totalsRowCount="0" totalsRowShown="0">
  <autoFilter ref="A6:E748"/>
  <tableColumns count="5">
    <tableColumn id="1" name="CLIENTE "/>
    <tableColumn id="2" name="Fecha "/>
    <tableColumn id="3" name="Código Producto "/>
    <tableColumn id="4" name="Descripción "/>
    <tableColumn id="5" name="Cantidad 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pivotTable" Target="../pivotTables/pivotTable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pivotTable" Target="../pivotTables/pivotTable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8FAADC"/>
    <pageSetUpPr fitToPage="false"/>
  </sheetPr>
  <dimension ref="A1:D80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pane xSplit="0" ySplit="7" topLeftCell="A8" activePane="bottomLeft" state="frozen"/>
      <selection pane="topLeft" activeCell="A1" activeCellId="0" sqref="A1"/>
      <selection pane="bottomLeft" activeCell="B10" activeCellId="0" sqref="B10"/>
    </sheetView>
  </sheetViews>
  <sheetFormatPr defaultColWidth="10.5390625" defaultRowHeight="15.75" zeroHeight="false" outlineLevelRow="0" outlineLevelCol="0"/>
  <cols>
    <col collapsed="false" customWidth="true" hidden="false" outlineLevel="0" max="1" min="1" style="1" width="23.85"/>
    <col collapsed="false" customWidth="true" hidden="false" outlineLevel="0" max="2" min="2" style="2" width="66.14"/>
  </cols>
  <sheetData>
    <row r="1" customFormat="false" ht="24" hidden="false" customHeight="true" outlineLevel="0" collapsed="false">
      <c r="B1" s="3" t="s">
        <v>0</v>
      </c>
    </row>
    <row r="2" customFormat="false" ht="13.5" hidden="false" customHeight="true" outlineLevel="0" collapsed="false">
      <c r="B2" s="3"/>
    </row>
    <row r="3" customFormat="false" ht="13.5" hidden="false" customHeight="true" outlineLevel="0" collapsed="false">
      <c r="B3" s="3"/>
    </row>
    <row r="4" customFormat="false" ht="13.5" hidden="false" customHeight="true" outlineLevel="0" collapsed="false">
      <c r="B4" s="3"/>
    </row>
    <row r="5" customFormat="false" ht="36" hidden="false" customHeight="true" outlineLevel="0" collapsed="false">
      <c r="A5" s="4" t="s">
        <v>1</v>
      </c>
      <c r="B5" s="4"/>
    </row>
    <row r="6" customFormat="false" ht="16.5" hidden="false" customHeight="false" outlineLevel="0" collapsed="false"/>
    <row r="7" customFormat="false" ht="44.25" hidden="false" customHeight="true" outlineLevel="0" collapsed="false">
      <c r="A7" s="5" t="s">
        <v>2</v>
      </c>
      <c r="B7" s="6" t="s">
        <v>3</v>
      </c>
    </row>
    <row r="8" s="9" customFormat="true" ht="27" hidden="false" customHeight="true" outlineLevel="0" collapsed="false">
      <c r="A8" s="7" t="s">
        <v>4</v>
      </c>
      <c r="B8" s="8" t="s">
        <v>5</v>
      </c>
    </row>
    <row r="9" s="9" customFormat="true" ht="27" hidden="false" customHeight="true" outlineLevel="0" collapsed="false">
      <c r="A9" s="7" t="s">
        <v>6</v>
      </c>
      <c r="B9" s="8" t="s">
        <v>7</v>
      </c>
    </row>
    <row r="10" s="9" customFormat="true" ht="27" hidden="false" customHeight="true" outlineLevel="0" collapsed="false">
      <c r="A10" s="7" t="s">
        <v>8</v>
      </c>
      <c r="B10" s="8" t="s">
        <v>9</v>
      </c>
    </row>
    <row r="11" s="9" customFormat="true" ht="27" hidden="false" customHeight="true" outlineLevel="0" collapsed="false">
      <c r="A11" s="7" t="s">
        <v>10</v>
      </c>
      <c r="B11" s="8" t="s">
        <v>11</v>
      </c>
    </row>
    <row r="12" s="9" customFormat="true" ht="27" hidden="false" customHeight="true" outlineLevel="0" collapsed="false">
      <c r="A12" s="7" t="s">
        <v>12</v>
      </c>
      <c r="B12" s="8" t="s">
        <v>13</v>
      </c>
    </row>
    <row r="13" s="9" customFormat="true" ht="27" hidden="false" customHeight="true" outlineLevel="0" collapsed="false">
      <c r="A13" s="7" t="s">
        <v>14</v>
      </c>
      <c r="B13" s="8" t="s">
        <v>15</v>
      </c>
    </row>
    <row r="14" s="10" customFormat="true" ht="31.5" hidden="false" customHeight="true" outlineLevel="0" collapsed="false">
      <c r="A14" s="7" t="s">
        <v>16</v>
      </c>
      <c r="B14" s="8" t="s">
        <v>17</v>
      </c>
    </row>
    <row r="15" s="9" customFormat="true" ht="27" hidden="false" customHeight="true" outlineLevel="0" collapsed="false">
      <c r="A15" s="7" t="s">
        <v>18</v>
      </c>
      <c r="B15" s="8" t="s">
        <v>19</v>
      </c>
    </row>
    <row r="16" s="9" customFormat="true" ht="27" hidden="false" customHeight="true" outlineLevel="0" collapsed="false">
      <c r="A16" s="7" t="s">
        <v>20</v>
      </c>
      <c r="B16" s="8" t="s">
        <v>21</v>
      </c>
    </row>
    <row r="17" s="9" customFormat="true" ht="27" hidden="false" customHeight="true" outlineLevel="0" collapsed="false">
      <c r="A17" s="7" t="s">
        <v>22</v>
      </c>
      <c r="B17" s="8" t="s">
        <v>23</v>
      </c>
    </row>
    <row r="18" s="9" customFormat="true" ht="33.75" hidden="false" customHeight="true" outlineLevel="0" collapsed="false">
      <c r="A18" s="7" t="s">
        <v>24</v>
      </c>
      <c r="B18" s="8" t="s">
        <v>25</v>
      </c>
    </row>
    <row r="19" s="9" customFormat="true" ht="27" hidden="false" customHeight="true" outlineLevel="0" collapsed="false">
      <c r="A19" s="7" t="s">
        <v>26</v>
      </c>
      <c r="B19" s="8" t="s">
        <v>27</v>
      </c>
    </row>
    <row r="20" s="9" customFormat="true" ht="27" hidden="false" customHeight="true" outlineLevel="0" collapsed="false">
      <c r="A20" s="7" t="s">
        <v>28</v>
      </c>
      <c r="B20" s="8" t="s">
        <v>29</v>
      </c>
    </row>
    <row r="21" s="9" customFormat="true" ht="27" hidden="false" customHeight="true" outlineLevel="0" collapsed="false">
      <c r="A21" s="7" t="s">
        <v>30</v>
      </c>
      <c r="B21" s="8" t="s">
        <v>31</v>
      </c>
    </row>
    <row r="22" s="9" customFormat="true" ht="27" hidden="false" customHeight="true" outlineLevel="0" collapsed="false">
      <c r="A22" s="11" t="s">
        <v>32</v>
      </c>
      <c r="B22" s="8" t="s">
        <v>33</v>
      </c>
    </row>
    <row r="23" s="10" customFormat="true" ht="27" hidden="false" customHeight="true" outlineLevel="0" collapsed="false">
      <c r="A23" s="11" t="s">
        <v>34</v>
      </c>
      <c r="B23" s="8" t="s">
        <v>35</v>
      </c>
    </row>
    <row r="24" s="9" customFormat="true" ht="27" hidden="false" customHeight="true" outlineLevel="0" collapsed="false">
      <c r="A24" s="7" t="s">
        <v>36</v>
      </c>
      <c r="B24" s="8" t="s">
        <v>37</v>
      </c>
    </row>
    <row r="25" s="10" customFormat="true" ht="27" hidden="false" customHeight="true" outlineLevel="0" collapsed="false">
      <c r="A25" s="7" t="s">
        <v>38</v>
      </c>
      <c r="B25" s="8" t="s">
        <v>39</v>
      </c>
    </row>
    <row r="26" s="9" customFormat="true" ht="27" hidden="false" customHeight="true" outlineLevel="0" collapsed="false">
      <c r="A26" s="7" t="s">
        <v>40</v>
      </c>
      <c r="B26" s="11" t="s">
        <v>32</v>
      </c>
    </row>
    <row r="27" s="9" customFormat="true" ht="27" hidden="false" customHeight="true" outlineLevel="0" collapsed="false">
      <c r="A27" s="7" t="s">
        <v>41</v>
      </c>
      <c r="B27" s="8" t="s">
        <v>42</v>
      </c>
    </row>
    <row r="28" s="9" customFormat="true" ht="27" hidden="false" customHeight="true" outlineLevel="0" collapsed="false">
      <c r="A28" s="7" t="s">
        <v>43</v>
      </c>
      <c r="B28" s="8" t="s">
        <v>44</v>
      </c>
    </row>
    <row r="29" s="9" customFormat="true" ht="27" hidden="false" customHeight="true" outlineLevel="0" collapsed="false">
      <c r="A29" s="11" t="s">
        <v>45</v>
      </c>
      <c r="B29" s="8" t="s">
        <v>46</v>
      </c>
    </row>
    <row r="30" s="9" customFormat="true" ht="27" hidden="false" customHeight="true" outlineLevel="0" collapsed="false">
      <c r="A30" s="11" t="s">
        <v>47</v>
      </c>
      <c r="B30" s="8" t="s">
        <v>48</v>
      </c>
    </row>
    <row r="31" s="9" customFormat="true" ht="27" hidden="false" customHeight="true" outlineLevel="0" collapsed="false">
      <c r="A31" s="7" t="s">
        <v>49</v>
      </c>
      <c r="B31" s="8" t="s">
        <v>50</v>
      </c>
    </row>
    <row r="32" s="9" customFormat="true" ht="27" hidden="false" customHeight="true" outlineLevel="0" collapsed="false">
      <c r="A32" s="11" t="s">
        <v>51</v>
      </c>
      <c r="B32" s="8" t="s">
        <v>52</v>
      </c>
    </row>
    <row r="33" s="9" customFormat="true" ht="27" hidden="false" customHeight="true" outlineLevel="0" collapsed="false">
      <c r="A33" s="7" t="s">
        <v>53</v>
      </c>
      <c r="B33" s="8" t="s">
        <v>54</v>
      </c>
    </row>
    <row r="34" s="9" customFormat="true" ht="27" hidden="false" customHeight="true" outlineLevel="0" collapsed="false">
      <c r="A34" s="12" t="s">
        <v>55</v>
      </c>
      <c r="B34" s="8" t="s">
        <v>56</v>
      </c>
    </row>
    <row r="35" s="9" customFormat="true" ht="27" hidden="false" customHeight="true" outlineLevel="0" collapsed="false">
      <c r="A35" s="12" t="s">
        <v>57</v>
      </c>
      <c r="B35" s="8" t="s">
        <v>58</v>
      </c>
    </row>
    <row r="36" s="9" customFormat="true" ht="27" hidden="false" customHeight="true" outlineLevel="0" collapsed="false">
      <c r="A36" s="12" t="s">
        <v>59</v>
      </c>
      <c r="B36" s="8" t="s">
        <v>60</v>
      </c>
    </row>
    <row r="37" s="9" customFormat="true" ht="27" hidden="false" customHeight="true" outlineLevel="0" collapsed="false">
      <c r="A37" s="12" t="s">
        <v>61</v>
      </c>
      <c r="B37" s="8" t="s">
        <v>62</v>
      </c>
    </row>
    <row r="38" s="9" customFormat="true" ht="27" hidden="false" customHeight="true" outlineLevel="0" collapsed="false">
      <c r="A38" s="12" t="s">
        <v>63</v>
      </c>
      <c r="B38" s="8" t="s">
        <v>64</v>
      </c>
    </row>
    <row r="39" s="9" customFormat="true" ht="27" hidden="false" customHeight="true" outlineLevel="0" collapsed="false">
      <c r="A39" s="7" t="s">
        <v>65</v>
      </c>
      <c r="B39" s="8" t="s">
        <v>66</v>
      </c>
      <c r="C39" s="9" t="n">
        <f aca="false">26.6-3</f>
        <v>23.6</v>
      </c>
      <c r="D39" s="9" t="n">
        <f aca="false">23.6-3</f>
        <v>20.6</v>
      </c>
    </row>
    <row r="40" s="9" customFormat="true" ht="27" hidden="false" customHeight="true" outlineLevel="0" collapsed="false">
      <c r="A40" s="7" t="s">
        <v>67</v>
      </c>
      <c r="B40" s="8" t="s">
        <v>68</v>
      </c>
    </row>
    <row r="41" s="9" customFormat="true" ht="27" hidden="false" customHeight="true" outlineLevel="0" collapsed="false">
      <c r="A41" s="7" t="s">
        <v>69</v>
      </c>
      <c r="B41" s="8" t="s">
        <v>70</v>
      </c>
    </row>
    <row r="42" s="9" customFormat="true" ht="27" hidden="false" customHeight="true" outlineLevel="0" collapsed="false">
      <c r="A42" s="7" t="s">
        <v>71</v>
      </c>
      <c r="B42" s="8" t="s">
        <v>72</v>
      </c>
    </row>
    <row r="43" s="9" customFormat="true" ht="27" hidden="false" customHeight="true" outlineLevel="0" collapsed="false">
      <c r="A43" s="7" t="s">
        <v>73</v>
      </c>
      <c r="B43" s="8" t="s">
        <v>74</v>
      </c>
      <c r="C43" s="9" t="n">
        <v>14.88</v>
      </c>
      <c r="D43" s="9" t="n">
        <f aca="false">16.4-1.52</f>
        <v>14.88</v>
      </c>
    </row>
    <row r="44" s="9" customFormat="true" ht="27" hidden="false" customHeight="true" outlineLevel="0" collapsed="false">
      <c r="A44" s="7" t="s">
        <v>75</v>
      </c>
      <c r="B44" s="8" t="s">
        <v>76</v>
      </c>
      <c r="C44" s="9" t="n">
        <v>19.81</v>
      </c>
      <c r="D44" s="9" t="n">
        <f aca="false">21.33-1.52</f>
        <v>19.81</v>
      </c>
    </row>
    <row r="45" s="9" customFormat="true" ht="27" hidden="false" customHeight="true" outlineLevel="0" collapsed="false">
      <c r="A45" s="7" t="s">
        <v>77</v>
      </c>
      <c r="B45" s="8" t="s">
        <v>78</v>
      </c>
    </row>
    <row r="46" s="9" customFormat="true" ht="27" hidden="false" customHeight="true" outlineLevel="0" collapsed="false">
      <c r="A46" s="7" t="s">
        <v>79</v>
      </c>
      <c r="B46" s="8" t="s">
        <v>80</v>
      </c>
    </row>
    <row r="47" s="9" customFormat="true" ht="27" hidden="false" customHeight="true" outlineLevel="0" collapsed="false">
      <c r="A47" s="7" t="s">
        <v>81</v>
      </c>
      <c r="B47" s="8" t="s">
        <v>82</v>
      </c>
    </row>
    <row r="48" s="9" customFormat="true" ht="27" hidden="false" customHeight="true" outlineLevel="0" collapsed="false">
      <c r="A48" s="11" t="s">
        <v>83</v>
      </c>
      <c r="B48" s="8" t="s">
        <v>84</v>
      </c>
    </row>
    <row r="49" s="9" customFormat="true" ht="27" hidden="false" customHeight="true" outlineLevel="0" collapsed="false">
      <c r="A49" s="7" t="s">
        <v>85</v>
      </c>
      <c r="B49" s="8" t="s">
        <v>86</v>
      </c>
    </row>
    <row r="50" s="9" customFormat="true" ht="27" hidden="false" customHeight="true" outlineLevel="0" collapsed="false">
      <c r="A50" s="11" t="s">
        <v>87</v>
      </c>
      <c r="B50" s="8" t="s">
        <v>88</v>
      </c>
    </row>
    <row r="51" s="9" customFormat="true" ht="27" hidden="false" customHeight="true" outlineLevel="0" collapsed="false">
      <c r="A51" s="11" t="s">
        <v>89</v>
      </c>
      <c r="B51" s="8" t="s">
        <v>90</v>
      </c>
    </row>
    <row r="52" s="9" customFormat="true" ht="27" hidden="false" customHeight="true" outlineLevel="0" collapsed="false">
      <c r="A52" s="11" t="s">
        <v>91</v>
      </c>
      <c r="B52" s="8" t="s">
        <v>92</v>
      </c>
    </row>
    <row r="53" s="9" customFormat="true" ht="27" hidden="false" customHeight="true" outlineLevel="0" collapsed="false">
      <c r="A53" s="7" t="s">
        <v>93</v>
      </c>
      <c r="B53" s="8" t="s">
        <v>94</v>
      </c>
    </row>
    <row r="54" s="9" customFormat="true" ht="27" hidden="false" customHeight="true" outlineLevel="0" collapsed="false">
      <c r="A54" s="11" t="s">
        <v>95</v>
      </c>
      <c r="B54" s="8" t="s">
        <v>96</v>
      </c>
    </row>
    <row r="55" s="9" customFormat="true" ht="27" hidden="false" customHeight="true" outlineLevel="0" collapsed="false">
      <c r="A55" s="11" t="s">
        <v>97</v>
      </c>
      <c r="B55" s="8" t="s">
        <v>98</v>
      </c>
    </row>
    <row r="56" s="9" customFormat="true" ht="27" hidden="false" customHeight="true" outlineLevel="0" collapsed="false">
      <c r="A56" s="7" t="s">
        <v>99</v>
      </c>
      <c r="B56" s="8" t="s">
        <v>100</v>
      </c>
    </row>
    <row r="57" s="9" customFormat="true" ht="27" hidden="false" customHeight="true" outlineLevel="0" collapsed="false">
      <c r="A57" s="11" t="s">
        <v>101</v>
      </c>
      <c r="B57" s="8" t="s">
        <v>102</v>
      </c>
    </row>
    <row r="58" s="9" customFormat="true" ht="27" hidden="false" customHeight="true" outlineLevel="0" collapsed="false">
      <c r="A58" s="11" t="s">
        <v>103</v>
      </c>
      <c r="B58" s="8" t="s">
        <v>104</v>
      </c>
      <c r="C58" s="9" t="n">
        <f aca="false">4.46-1.52</f>
        <v>2.94</v>
      </c>
    </row>
    <row r="59" s="9" customFormat="true" ht="27" hidden="false" customHeight="true" outlineLevel="0" collapsed="false">
      <c r="A59" s="7" t="s">
        <v>105</v>
      </c>
      <c r="B59" s="8" t="s">
        <v>106</v>
      </c>
    </row>
    <row r="60" s="9" customFormat="true" ht="27" hidden="false" customHeight="true" outlineLevel="0" collapsed="false">
      <c r="A60" s="7" t="s">
        <v>107</v>
      </c>
      <c r="B60" s="8" t="s">
        <v>108</v>
      </c>
    </row>
    <row r="61" s="9" customFormat="true" ht="27" hidden="false" customHeight="true" outlineLevel="0" collapsed="false">
      <c r="A61" s="7" t="s">
        <v>109</v>
      </c>
      <c r="B61" s="8" t="s">
        <v>110</v>
      </c>
    </row>
    <row r="62" s="9" customFormat="true" ht="27" hidden="false" customHeight="true" outlineLevel="0" collapsed="false">
      <c r="A62" s="11" t="s">
        <v>111</v>
      </c>
      <c r="B62" s="8" t="s">
        <v>112</v>
      </c>
    </row>
    <row r="63" s="9" customFormat="true" ht="27" hidden="false" customHeight="true" outlineLevel="0" collapsed="false">
      <c r="A63" s="11" t="s">
        <v>113</v>
      </c>
      <c r="B63" s="8" t="s">
        <v>114</v>
      </c>
    </row>
    <row r="64" s="9" customFormat="true" ht="27" hidden="false" customHeight="true" outlineLevel="0" collapsed="false">
      <c r="A64" s="11" t="s">
        <v>115</v>
      </c>
      <c r="B64" s="8" t="s">
        <v>116</v>
      </c>
    </row>
    <row r="65" s="9" customFormat="true" ht="27" hidden="false" customHeight="true" outlineLevel="0" collapsed="false">
      <c r="A65" s="11" t="s">
        <v>117</v>
      </c>
      <c r="B65" s="8" t="s">
        <v>118</v>
      </c>
    </row>
    <row r="66" s="9" customFormat="true" ht="27" hidden="false" customHeight="true" outlineLevel="0" collapsed="false">
      <c r="A66" s="7" t="s">
        <v>119</v>
      </c>
      <c r="B66" s="8" t="s">
        <v>120</v>
      </c>
    </row>
    <row r="67" s="9" customFormat="true" ht="27" hidden="false" customHeight="true" outlineLevel="0" collapsed="false">
      <c r="A67" s="7" t="s">
        <v>121</v>
      </c>
      <c r="B67" s="8" t="s">
        <v>122</v>
      </c>
    </row>
    <row r="68" s="9" customFormat="true" ht="27" hidden="false" customHeight="true" outlineLevel="0" collapsed="false">
      <c r="A68" s="7" t="s">
        <v>123</v>
      </c>
      <c r="B68" s="8" t="s">
        <v>124</v>
      </c>
    </row>
    <row r="69" s="9" customFormat="true" ht="27" hidden="false" customHeight="true" outlineLevel="0" collapsed="false">
      <c r="A69" s="11" t="s">
        <v>125</v>
      </c>
      <c r="B69" s="8" t="s">
        <v>126</v>
      </c>
    </row>
    <row r="70" s="9" customFormat="true" ht="27" hidden="false" customHeight="true" outlineLevel="0" collapsed="false">
      <c r="A70" s="13" t="s">
        <v>127</v>
      </c>
      <c r="B70" s="14" t="s">
        <v>128</v>
      </c>
    </row>
    <row r="71" customFormat="false" ht="18.75" hidden="false" customHeight="false" outlineLevel="0" collapsed="false">
      <c r="A71" s="11" t="s">
        <v>129</v>
      </c>
      <c r="B71" s="8" t="s">
        <v>130</v>
      </c>
    </row>
    <row r="72" customFormat="false" ht="18.75" hidden="false" customHeight="false" outlineLevel="0" collapsed="false">
      <c r="A72" s="11" t="s">
        <v>131</v>
      </c>
      <c r="B72" s="8" t="s">
        <v>132</v>
      </c>
    </row>
    <row r="73" customFormat="false" ht="18.75" hidden="false" customHeight="false" outlineLevel="0" collapsed="false">
      <c r="A73" s="11" t="s">
        <v>133</v>
      </c>
      <c r="B73" s="8" t="s">
        <v>134</v>
      </c>
    </row>
    <row r="74" customFormat="false" ht="18.75" hidden="false" customHeight="false" outlineLevel="0" collapsed="false">
      <c r="A74" s="11" t="s">
        <v>135</v>
      </c>
      <c r="B74" s="8" t="s">
        <v>136</v>
      </c>
    </row>
    <row r="75" customFormat="false" ht="18.75" hidden="false" customHeight="false" outlineLevel="0" collapsed="false">
      <c r="A75" s="11" t="s">
        <v>137</v>
      </c>
      <c r="B75" s="8" t="s">
        <v>138</v>
      </c>
    </row>
    <row r="76" customFormat="false" ht="18.75" hidden="false" customHeight="false" outlineLevel="0" collapsed="false">
      <c r="A76" s="11" t="s">
        <v>139</v>
      </c>
      <c r="B76" s="8" t="s">
        <v>140</v>
      </c>
    </row>
    <row r="77" customFormat="false" ht="18.75" hidden="false" customHeight="false" outlineLevel="0" collapsed="false">
      <c r="A77" s="11" t="s">
        <v>141</v>
      </c>
      <c r="B77" s="8" t="s">
        <v>142</v>
      </c>
    </row>
    <row r="78" customFormat="false" ht="18.75" hidden="false" customHeight="false" outlineLevel="0" collapsed="false">
      <c r="A78" s="11" t="s">
        <v>143</v>
      </c>
      <c r="B78" s="8" t="s">
        <v>144</v>
      </c>
    </row>
    <row r="79" customFormat="false" ht="18.75" hidden="false" customHeight="false" outlineLevel="0" collapsed="false">
      <c r="A79" s="11" t="s">
        <v>145</v>
      </c>
      <c r="B79" s="8" t="s">
        <v>146</v>
      </c>
    </row>
    <row r="80" customFormat="false" ht="18.75" hidden="false" customHeight="false" outlineLevel="0" collapsed="false">
      <c r="A80" s="11" t="s">
        <v>147</v>
      </c>
      <c r="B80" s="8" t="s">
        <v>148</v>
      </c>
    </row>
  </sheetData>
  <mergeCells count="2">
    <mergeCell ref="B1:B4"/>
    <mergeCell ref="A5:B5"/>
  </mergeCells>
  <conditionalFormatting sqref="A8:B70">
    <cfRule type="expression" priority="2" aboveAverage="0" equalAverage="0" bottom="0" percent="0" rank="0" text="" dxfId="0">
      <formula>#ref!&lt;=0</formula>
    </cfRule>
  </conditionalFormatting>
  <printOptions headings="false" gridLines="false" gridLinesSet="true" horizontalCentered="true" verticalCentered="false"/>
  <pageMargins left="0.7875" right="0.708333333333333" top="0.7875" bottom="0.747916666666667" header="0.511805555555555" footer="0.511805555555555"/>
  <pageSetup paperSize="1" scale="8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3:A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7" activeCellId="0" sqref="F7"/>
    </sheetView>
  </sheetViews>
  <sheetFormatPr defaultColWidth="10.5390625" defaultRowHeight="15" zeroHeight="false" outlineLevelRow="0" outlineLevelCol="0"/>
  <sheetData>
    <row r="3" customFormat="false" ht="15" hidden="false" customHeight="false" outlineLevel="0" collapsed="false">
      <c r="A3" s="15" t="s">
        <v>149</v>
      </c>
    </row>
    <row r="4" customFormat="false" ht="15" hidden="false" customHeight="false" outlineLevel="0" collapsed="false">
      <c r="A4" s="16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4B183"/>
    <pageSetUpPr fitToPage="false"/>
  </sheetPr>
  <dimension ref="A1:G75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6" topLeftCell="A724" activePane="bottomLeft" state="frozen"/>
      <selection pane="topLeft" activeCell="A1" activeCellId="0" sqref="A1"/>
      <selection pane="bottomLeft" activeCell="D695" activeCellId="0" sqref="D695"/>
    </sheetView>
  </sheetViews>
  <sheetFormatPr defaultColWidth="10.5390625" defaultRowHeight="15" zeroHeight="false" outlineLevelRow="0" outlineLevelCol="0"/>
  <cols>
    <col collapsed="false" customWidth="true" hidden="false" outlineLevel="0" max="1" min="1" style="0" width="44.43"/>
    <col collapsed="false" customWidth="true" hidden="false" outlineLevel="0" max="2" min="2" style="17" width="13"/>
    <col collapsed="false" customWidth="true" hidden="false" outlineLevel="0" max="3" min="3" style="0" width="23.43"/>
    <col collapsed="false" customWidth="true" hidden="false" outlineLevel="0" max="4" min="4" style="0" width="51.57"/>
  </cols>
  <sheetData>
    <row r="1" customFormat="false" ht="24.75" hidden="false" customHeight="true" outlineLevel="0" collapsed="false">
      <c r="A1" s="18" t="s">
        <v>0</v>
      </c>
    </row>
    <row r="2" customFormat="false" ht="13.5" hidden="false" customHeight="true" outlineLevel="0" collapsed="false">
      <c r="A2" s="18"/>
    </row>
    <row r="3" customFormat="false" ht="13.5" hidden="false" customHeight="true" outlineLevel="0" collapsed="false"/>
    <row r="4" customFormat="false" ht="37.5" hidden="false" customHeight="true" outlineLevel="0" collapsed="false">
      <c r="A4" s="19" t="s">
        <v>150</v>
      </c>
      <c r="B4" s="19"/>
      <c r="C4" s="19"/>
      <c r="D4" s="19"/>
      <c r="E4" s="19"/>
    </row>
    <row r="5" customFormat="false" ht="15.75" hidden="false" customHeight="false" outlineLevel="0" collapsed="false"/>
    <row r="6" s="21" customFormat="true" ht="40.5" hidden="false" customHeight="true" outlineLevel="0" collapsed="false">
      <c r="A6" s="20" t="s">
        <v>151</v>
      </c>
      <c r="B6" s="20" t="s">
        <v>152</v>
      </c>
      <c r="C6" s="20" t="s">
        <v>153</v>
      </c>
      <c r="D6" s="20" t="s">
        <v>3</v>
      </c>
      <c r="E6" s="20" t="s">
        <v>154</v>
      </c>
      <c r="F6" s="20" t="s">
        <v>155</v>
      </c>
    </row>
    <row r="7" customFormat="false" ht="15.75" hidden="false" customHeight="false" outlineLevel="0" collapsed="false">
      <c r="A7" s="22" t="s">
        <v>156</v>
      </c>
      <c r="B7" s="23" t="n">
        <v>44047</v>
      </c>
      <c r="C7" s="7" t="s">
        <v>28</v>
      </c>
      <c r="D7" s="22" t="str">
        <f aca="false">VLOOKUP(SALIDAS[[Código Producto ]],PRODUCTOS[],2,0)</f>
        <v>Chorizo Oxford x 4 unidades 400g</v>
      </c>
      <c r="E7" s="22" t="n">
        <v>5</v>
      </c>
      <c r="F7" s="0" t="n">
        <f aca="false">SALIDAS[[#This Row],[Cantidad ]]*0.4</f>
        <v>2</v>
      </c>
    </row>
    <row r="8" customFormat="false" ht="15.75" hidden="false" customHeight="false" outlineLevel="0" collapsed="false">
      <c r="A8" s="22" t="s">
        <v>156</v>
      </c>
      <c r="B8" s="23" t="n">
        <v>44047</v>
      </c>
      <c r="C8" s="7" t="s">
        <v>22</v>
      </c>
      <c r="D8" s="24" t="str">
        <f aca="false">VLOOKUP(SALIDAS[[Código Producto ]],PRODUCTOS[],2,0)</f>
        <v>Chorizo finas hierbas x 6 unidades 600g</v>
      </c>
      <c r="E8" s="24" t="n">
        <v>3</v>
      </c>
      <c r="F8" s="17" t="n">
        <f aca="false">SALIDAS[[#This Row],[Cantidad ]]*0.6</f>
        <v>1.8</v>
      </c>
    </row>
    <row r="9" customFormat="false" ht="15.75" hidden="false" customHeight="false" outlineLevel="0" collapsed="false">
      <c r="A9" s="22" t="s">
        <v>157</v>
      </c>
      <c r="B9" s="23" t="n">
        <v>44047</v>
      </c>
      <c r="C9" s="7" t="s">
        <v>8</v>
      </c>
      <c r="D9" s="24" t="str">
        <f aca="false">VLOOKUP(SALIDAS[[Código Producto ]],PRODUCTOS[],2,0)</f>
        <v>Bratwurst x 4 unidades 320g </v>
      </c>
      <c r="E9" s="24" t="n">
        <v>2</v>
      </c>
      <c r="F9" s="17" t="n">
        <f aca="false">SALIDAS[[#This Row],[Cantidad ]]*0.32</f>
        <v>0.64</v>
      </c>
    </row>
    <row r="10" customFormat="false" ht="15.75" hidden="false" customHeight="false" outlineLevel="0" collapsed="false">
      <c r="A10" s="22" t="s">
        <v>157</v>
      </c>
      <c r="B10" s="23" t="n">
        <v>44047</v>
      </c>
      <c r="C10" s="25" t="s">
        <v>14</v>
      </c>
      <c r="D10" s="24" t="str">
        <f aca="false">VLOOKUP(SALIDAS[[Código Producto ]],PRODUCTOS[],2,0)</f>
        <v>Chistorra Huachana x 6 unidades 150g</v>
      </c>
      <c r="E10" s="24" t="n">
        <v>3</v>
      </c>
      <c r="F10" s="17" t="n">
        <f aca="false">SALIDAS[[#This Row],[Cantidad ]]*0.15</f>
        <v>0.45</v>
      </c>
    </row>
    <row r="11" customFormat="false" ht="15.75" hidden="false" customHeight="false" outlineLevel="0" collapsed="false">
      <c r="A11" s="22" t="s">
        <v>157</v>
      </c>
      <c r="B11" s="23" t="n">
        <v>44047</v>
      </c>
      <c r="C11" s="11" t="s">
        <v>117</v>
      </c>
      <c r="D11" s="24" t="str">
        <f aca="false">VLOOKUP(SALIDAS[[Código Producto ]],PRODUCTOS[],2,0)</f>
        <v>Tocino Ahumado Redondo  x 200g (ROJO)</v>
      </c>
      <c r="E11" s="24" t="n">
        <v>3</v>
      </c>
      <c r="F11" s="17" t="n">
        <f aca="false">SALIDAS[[#This Row],[Cantidad ]]*0.2</f>
        <v>0.6</v>
      </c>
    </row>
    <row r="12" customFormat="false" ht="15.75" hidden="false" customHeight="false" outlineLevel="0" collapsed="false">
      <c r="A12" s="22" t="s">
        <v>158</v>
      </c>
      <c r="B12" s="23" t="n">
        <v>44047</v>
      </c>
      <c r="C12" s="25" t="s">
        <v>79</v>
      </c>
      <c r="D12" s="24" t="str">
        <f aca="false">VLOOKUP(SALIDAS[[Código Producto ]],PRODUCTOS[],2,0)</f>
        <v>Jamon pizza  x 3.2 Kg (Entero)</v>
      </c>
      <c r="E12" s="24" t="n">
        <v>18.89</v>
      </c>
      <c r="F12" s="17" t="n">
        <f aca="false">SALIDAS[[#This Row],[Cantidad ]]</f>
        <v>18.89</v>
      </c>
    </row>
    <row r="13" customFormat="false" ht="15.75" hidden="false" customHeight="false" outlineLevel="0" collapsed="false">
      <c r="A13" s="22" t="s">
        <v>159</v>
      </c>
      <c r="B13" s="23" t="n">
        <v>44048</v>
      </c>
      <c r="C13" s="25" t="s">
        <v>107</v>
      </c>
      <c r="D13" s="24" t="str">
        <f aca="false">VLOOKUP(SALIDAS[[Código Producto ]],PRODUCTOS[],2,0)</f>
        <v>Tocino Ahumado Natural Entero </v>
      </c>
      <c r="E13" s="24" t="n">
        <v>6.2</v>
      </c>
      <c r="F13" s="17" t="n">
        <f aca="false">SALIDAS[[#This Row],[Cantidad ]]</f>
        <v>6.2</v>
      </c>
    </row>
    <row r="14" customFormat="false" ht="15.75" hidden="false" customHeight="false" outlineLevel="0" collapsed="false">
      <c r="A14" s="22" t="s">
        <v>160</v>
      </c>
      <c r="B14" s="23" t="n">
        <v>44048</v>
      </c>
      <c r="C14" s="25" t="s">
        <v>79</v>
      </c>
      <c r="D14" s="24" t="str">
        <f aca="false">VLOOKUP(SALIDAS[[Código Producto ]],PRODUCTOS[],2,0)</f>
        <v>Jamon pizza  x 3.2 Kg (Entero)</v>
      </c>
      <c r="E14" s="24" t="n">
        <v>47.565</v>
      </c>
      <c r="F14" s="17" t="n">
        <f aca="false">SALIDAS[[#This Row],[Cantidad ]]</f>
        <v>47.565</v>
      </c>
    </row>
    <row r="15" customFormat="false" ht="15.75" hidden="false" customHeight="false" outlineLevel="0" collapsed="false">
      <c r="A15" s="22" t="s">
        <v>161</v>
      </c>
      <c r="B15" s="23" t="n">
        <v>44048</v>
      </c>
      <c r="C15" s="25" t="s">
        <v>119</v>
      </c>
      <c r="D15" s="24" t="str">
        <f aca="false">VLOOKUP(SALIDAS[[Código Producto ]],PRODUCTOS[],2,0)</f>
        <v>Tocino Ahumado Redondo (Entero) (ROJO) X KILOS </v>
      </c>
      <c r="E15" s="24" t="n">
        <v>3.12</v>
      </c>
      <c r="F15" s="17" t="n">
        <f aca="false">SALIDAS[[#This Row],[Cantidad ]]</f>
        <v>3.12</v>
      </c>
    </row>
    <row r="16" customFormat="false" ht="15.75" hidden="false" customHeight="false" outlineLevel="0" collapsed="false">
      <c r="A16" s="22" t="s">
        <v>162</v>
      </c>
      <c r="B16" s="23" t="n">
        <v>44049</v>
      </c>
      <c r="C16" s="11" t="s">
        <v>47</v>
      </c>
      <c r="D16" s="24" t="str">
        <f aca="false">VLOOKUP(SALIDAS[[Código Producto ]],PRODUCTOS[],2,0)</f>
        <v>Frankfurter granel x 4 unidades 250g</v>
      </c>
      <c r="E16" s="24" t="n">
        <v>6</v>
      </c>
      <c r="F16" s="17" t="n">
        <f aca="false">SALIDAS[[#This Row],[Cantidad ]]*0.24</f>
        <v>1.44</v>
      </c>
    </row>
    <row r="17" customFormat="false" ht="15" hidden="false" customHeight="false" outlineLevel="0" collapsed="false">
      <c r="A17" s="22" t="s">
        <v>163</v>
      </c>
      <c r="B17" s="23" t="n">
        <v>44049</v>
      </c>
      <c r="C17" s="12" t="s">
        <v>8</v>
      </c>
      <c r="D17" s="24" t="str">
        <f aca="false">VLOOKUP(SALIDAS[[Código Producto ]],PRODUCTOS[],2,0)</f>
        <v>Bratwurst x 4 unidades 320g </v>
      </c>
      <c r="E17" s="24" t="n">
        <v>2</v>
      </c>
      <c r="F17" s="17" t="n">
        <f aca="false">SALIDAS[[#This Row],[Cantidad ]]*0.32</f>
        <v>0.64</v>
      </c>
    </row>
    <row r="18" customFormat="false" ht="15.75" hidden="false" customHeight="false" outlineLevel="0" collapsed="false">
      <c r="A18" s="22" t="s">
        <v>163</v>
      </c>
      <c r="B18" s="23" t="n">
        <v>44049</v>
      </c>
      <c r="C18" s="7" t="s">
        <v>26</v>
      </c>
      <c r="D18" s="24" t="str">
        <f aca="false">VLOOKUP(SALIDAS[[Código Producto ]],PRODUCTOS[],2,0)</f>
        <v>Chorizo Oxford x 10 unidades 250g</v>
      </c>
      <c r="E18" s="24" t="n">
        <v>4</v>
      </c>
      <c r="F18" s="17" t="n">
        <f aca="false">SALIDAS[[#This Row],[Cantidad ]]*0.25</f>
        <v>1</v>
      </c>
    </row>
    <row r="19" customFormat="false" ht="15.75" hidden="false" customHeight="false" outlineLevel="0" collapsed="false">
      <c r="A19" s="22" t="s">
        <v>163</v>
      </c>
      <c r="B19" s="23" t="n">
        <v>44049</v>
      </c>
      <c r="C19" s="7" t="s">
        <v>14</v>
      </c>
      <c r="D19" s="24" t="str">
        <f aca="false">VLOOKUP(SALIDAS[[Código Producto ]],PRODUCTOS[],2,0)</f>
        <v>Chistorra Huachana x 6 unidades 150g</v>
      </c>
      <c r="E19" s="24" t="n">
        <v>4</v>
      </c>
      <c r="F19" s="17" t="n">
        <f aca="false">SALIDAS[[#This Row],[Cantidad ]]*0.15</f>
        <v>0.6</v>
      </c>
    </row>
    <row r="20" customFormat="false" ht="15.75" hidden="false" customHeight="false" outlineLevel="0" collapsed="false">
      <c r="A20" s="22" t="s">
        <v>163</v>
      </c>
      <c r="B20" s="23" t="n">
        <v>44049</v>
      </c>
      <c r="C20" s="25" t="s">
        <v>109</v>
      </c>
      <c r="D20" s="24" t="str">
        <f aca="false">VLOOKUP(SALIDAS[[Código Producto ]],PRODUCTOS[],2,0)</f>
        <v>Tocino Ahumado Natural x200g</v>
      </c>
      <c r="E20" s="24" t="n">
        <v>4</v>
      </c>
      <c r="F20" s="17" t="n">
        <f aca="false">SALIDAS[[#This Row],[Cantidad ]]*0.2</f>
        <v>0.8</v>
      </c>
    </row>
    <row r="21" customFormat="false" ht="15.75" hidden="false" customHeight="false" outlineLevel="0" collapsed="false">
      <c r="A21" s="22" t="s">
        <v>164</v>
      </c>
      <c r="B21" s="23" t="n">
        <v>44049</v>
      </c>
      <c r="C21" s="7" t="s">
        <v>14</v>
      </c>
      <c r="D21" s="24" t="str">
        <f aca="false">VLOOKUP(SALIDAS[[Código Producto ]],PRODUCTOS[],2,0)</f>
        <v>Chistorra Huachana x 6 unidades 150g</v>
      </c>
      <c r="E21" s="24" t="n">
        <v>4</v>
      </c>
      <c r="F21" s="17" t="n">
        <f aca="false">SALIDAS[[#This Row],[Cantidad ]]*0.15</f>
        <v>0.6</v>
      </c>
    </row>
    <row r="22" customFormat="false" ht="15.75" hidden="false" customHeight="false" outlineLevel="0" collapsed="false">
      <c r="A22" s="22" t="s">
        <v>164</v>
      </c>
      <c r="B22" s="23" t="n">
        <v>44049</v>
      </c>
      <c r="C22" s="7" t="s">
        <v>36</v>
      </c>
      <c r="D22" s="24" t="str">
        <f aca="false">VLOOKUP(SALIDAS[[Código Producto ]],PRODUCTOS[],2,0)</f>
        <v>Cordero Franz Doner Kebab Lamb </v>
      </c>
      <c r="E22" s="24" t="n">
        <v>2</v>
      </c>
      <c r="F22" s="17" t="n">
        <f aca="false">SALIDAS[[#This Row],[Cantidad ]]*0.25</f>
        <v>0.5</v>
      </c>
    </row>
    <row r="23" customFormat="false" ht="15.75" hidden="false" customHeight="false" outlineLevel="0" collapsed="false">
      <c r="A23" s="22" t="s">
        <v>164</v>
      </c>
      <c r="B23" s="23" t="n">
        <v>44049</v>
      </c>
      <c r="C23" s="7" t="s">
        <v>12</v>
      </c>
      <c r="D23" s="24" t="str">
        <f aca="false">VLOOKUP(SALIDAS[[Código Producto ]],PRODUCTOS[],2,0)</f>
        <v>Chanchito al natural Franz doner kebab Pork 250g</v>
      </c>
      <c r="E23" s="24" t="n">
        <v>2</v>
      </c>
      <c r="F23" s="17" t="n">
        <f aca="false">SALIDAS[[#This Row],[Cantidad ]]*0.25</f>
        <v>0.5</v>
      </c>
    </row>
    <row r="24" customFormat="false" ht="15.75" hidden="false" customHeight="false" outlineLevel="0" collapsed="false">
      <c r="A24" s="22" t="s">
        <v>164</v>
      </c>
      <c r="B24" s="23" t="n">
        <v>44049</v>
      </c>
      <c r="C24" s="7" t="s">
        <v>49</v>
      </c>
      <c r="D24" s="24" t="str">
        <f aca="false">VLOOKUP(SALIDAS[[Código Producto ]],PRODUCTOS[],2,0)</f>
        <v>Frankfurter municipal x 3 unidades </v>
      </c>
      <c r="E24" s="24" t="n">
        <v>4</v>
      </c>
      <c r="F24" s="17" t="n">
        <f aca="false">SALIDAS[[#This Row],[Cantidad ]]*0.45</f>
        <v>1.8</v>
      </c>
    </row>
    <row r="25" customFormat="false" ht="15.75" hidden="false" customHeight="false" outlineLevel="0" collapsed="false">
      <c r="A25" s="22" t="s">
        <v>164</v>
      </c>
      <c r="B25" s="23" t="n">
        <v>44049</v>
      </c>
      <c r="C25" s="7" t="s">
        <v>41</v>
      </c>
      <c r="D25" s="24" t="str">
        <f aca="false">VLOOKUP(SALIDAS[[Código Producto ]],PRODUCTOS[],2,0)</f>
        <v>Frankfurter cocktail x 10 unidades x 250g</v>
      </c>
      <c r="E25" s="24" t="n">
        <v>2</v>
      </c>
      <c r="F25" s="17" t="n">
        <f aca="false">SALIDAS[[#This Row],[Cantidad ]]*0.25</f>
        <v>0.5</v>
      </c>
    </row>
    <row r="26" customFormat="false" ht="15.75" hidden="false" customHeight="false" outlineLevel="0" collapsed="false">
      <c r="A26" s="22" t="s">
        <v>164</v>
      </c>
      <c r="B26" s="23" t="n">
        <v>44049</v>
      </c>
      <c r="C26" s="11" t="s">
        <v>34</v>
      </c>
      <c r="D26" s="24" t="str">
        <f aca="false">VLOOKUP(SALIDAS[[Código Producto ]],PRODUCTOS[],2,0)</f>
        <v>Chorizo Sweet Spicy 600g</v>
      </c>
      <c r="E26" s="24" t="n">
        <v>4</v>
      </c>
      <c r="F26" s="17" t="n">
        <f aca="false">SALIDAS[[#This Row],[Cantidad ]]*0.6</f>
        <v>2.4</v>
      </c>
    </row>
    <row r="27" customFormat="false" ht="15.75" hidden="false" customHeight="false" outlineLevel="0" collapsed="false">
      <c r="A27" s="22" t="s">
        <v>164</v>
      </c>
      <c r="B27" s="23" t="n">
        <v>44049</v>
      </c>
      <c r="C27" s="7" t="s">
        <v>8</v>
      </c>
      <c r="D27" s="24" t="str">
        <f aca="false">VLOOKUP(SALIDAS[[Código Producto ]],PRODUCTOS[],2,0)</f>
        <v>Bratwurst x 4 unidades 320g </v>
      </c>
      <c r="E27" s="24" t="n">
        <v>2</v>
      </c>
      <c r="F27" s="17" t="n">
        <f aca="false">SALIDAS[[#This Row],[Cantidad ]]*0.32</f>
        <v>0.64</v>
      </c>
    </row>
    <row r="28" customFormat="false" ht="15.75" hidden="false" customHeight="false" outlineLevel="0" collapsed="false">
      <c r="A28" s="22" t="s">
        <v>164</v>
      </c>
      <c r="B28" s="23" t="n">
        <v>44049</v>
      </c>
      <c r="C28" s="7" t="s">
        <v>93</v>
      </c>
      <c r="D28" s="24" t="str">
        <f aca="false">VLOOKUP(SALIDAS[[Código Producto ]],PRODUCTOS[],2,0)</f>
        <v>Longaniza Huachana x 350g</v>
      </c>
      <c r="E28" s="24" t="n">
        <v>1</v>
      </c>
      <c r="F28" s="17" t="n">
        <f aca="false">SALIDAS[[#This Row],[Cantidad ]]*0.35</f>
        <v>0.35</v>
      </c>
    </row>
    <row r="29" customFormat="false" ht="15.75" hidden="false" customHeight="false" outlineLevel="0" collapsed="false">
      <c r="A29" s="24" t="s">
        <v>165</v>
      </c>
      <c r="B29" s="23" t="n">
        <v>44049</v>
      </c>
      <c r="C29" s="7" t="s">
        <v>10</v>
      </c>
      <c r="D29" s="24" t="str">
        <f aca="false">VLOOKUP(SALIDAS[[Código Producto ]],PRODUCTOS[],2,0)</f>
        <v>Chanchito al natural Franz doner kebab Lemon Pork 250g</v>
      </c>
      <c r="E29" s="24" t="n">
        <v>2</v>
      </c>
      <c r="F29" s="17" t="n">
        <f aca="false">SALIDAS[[#This Row],[Cantidad ]]*0.25</f>
        <v>0.5</v>
      </c>
    </row>
    <row r="30" customFormat="false" ht="15.75" hidden="false" customHeight="false" outlineLevel="0" collapsed="false">
      <c r="A30" s="24" t="s">
        <v>165</v>
      </c>
      <c r="B30" s="23" t="n">
        <v>44049</v>
      </c>
      <c r="C30" s="7" t="s">
        <v>12</v>
      </c>
      <c r="D30" s="24" t="str">
        <f aca="false">VLOOKUP(SALIDAS[[Código Producto ]],PRODUCTOS[],2,0)</f>
        <v>Chanchito al natural Franz doner kebab Pork 250g</v>
      </c>
      <c r="E30" s="24" t="n">
        <v>2</v>
      </c>
      <c r="F30" s="17" t="n">
        <f aca="false">SALIDAS[[#This Row],[Cantidad ]]*0.25</f>
        <v>0.5</v>
      </c>
    </row>
    <row r="31" customFormat="false" ht="15.75" hidden="false" customHeight="false" outlineLevel="0" collapsed="false">
      <c r="A31" s="24" t="s">
        <v>165</v>
      </c>
      <c r="B31" s="23" t="n">
        <v>44049</v>
      </c>
      <c r="C31" s="7" t="s">
        <v>36</v>
      </c>
      <c r="D31" s="24" t="str">
        <f aca="false">VLOOKUP(SALIDAS[[Código Producto ]],PRODUCTOS[],2,0)</f>
        <v>Cordero Franz Doner Kebab Lamb </v>
      </c>
      <c r="E31" s="24" t="n">
        <v>2</v>
      </c>
      <c r="F31" s="17" t="n">
        <f aca="false">SALIDAS[[#This Row],[Cantidad ]]*0.25</f>
        <v>0.5</v>
      </c>
    </row>
    <row r="32" customFormat="false" ht="15.75" hidden="false" customHeight="false" outlineLevel="0" collapsed="false">
      <c r="A32" s="24" t="s">
        <v>165</v>
      </c>
      <c r="B32" s="23" t="n">
        <v>44049</v>
      </c>
      <c r="C32" s="7" t="s">
        <v>53</v>
      </c>
      <c r="D32" s="24" t="str">
        <f aca="false">VLOOKUP(SALIDAS[[Código Producto ]],PRODUCTOS[],2,0)</f>
        <v>Greek Mayonnaise</v>
      </c>
      <c r="E32" s="24" t="n">
        <v>2</v>
      </c>
      <c r="F32" s="17" t="n">
        <f aca="false">SALIDAS[[#This Row],[Cantidad ]]*0.15</f>
        <v>0.3</v>
      </c>
    </row>
    <row r="33" customFormat="false" ht="15.75" hidden="false" customHeight="false" outlineLevel="0" collapsed="false">
      <c r="A33" s="24" t="s">
        <v>165</v>
      </c>
      <c r="B33" s="23" t="n">
        <v>44049</v>
      </c>
      <c r="C33" s="7" t="s">
        <v>99</v>
      </c>
      <c r="D33" s="24" t="str">
        <f aca="false">VLOOKUP(SALIDAS[[Código Producto ]],PRODUCTOS[],2,0)</f>
        <v>Pomarola Turka </v>
      </c>
      <c r="E33" s="24" t="n">
        <v>2</v>
      </c>
      <c r="F33" s="17" t="n">
        <f aca="false">SALIDAS[[#This Row],[Cantidad ]]*0.15</f>
        <v>0.3</v>
      </c>
    </row>
    <row r="34" customFormat="false" ht="15.75" hidden="false" customHeight="false" outlineLevel="0" collapsed="false">
      <c r="A34" s="24" t="s">
        <v>166</v>
      </c>
      <c r="B34" s="23" t="n">
        <v>44049</v>
      </c>
      <c r="C34" s="7" t="s">
        <v>8</v>
      </c>
      <c r="D34" s="24" t="str">
        <f aca="false">VLOOKUP(SALIDAS[[Código Producto ]],PRODUCTOS[],2,0)</f>
        <v>Bratwurst x 4 unidades 320g </v>
      </c>
      <c r="E34" s="24" t="n">
        <v>7</v>
      </c>
      <c r="F34" s="17" t="n">
        <f aca="false">SALIDAS[[#This Row],[Cantidad ]]*0.32</f>
        <v>2.24</v>
      </c>
    </row>
    <row r="35" customFormat="false" ht="15.75" hidden="false" customHeight="false" outlineLevel="0" collapsed="false">
      <c r="A35" s="24" t="s">
        <v>166</v>
      </c>
      <c r="B35" s="23" t="n">
        <v>44049</v>
      </c>
      <c r="C35" s="11" t="s">
        <v>97</v>
      </c>
      <c r="D35" s="24" t="str">
        <f aca="false">VLOOKUP(SALIDAS[[Código Producto ]],PRODUCTOS[],2,0)</f>
        <v>Morcilla Granel x3</v>
      </c>
      <c r="E35" s="24" t="n">
        <v>8</v>
      </c>
      <c r="F35" s="17" t="n">
        <f aca="false">SALIDAS[[#This Row],[Cantidad ]]*0.25</f>
        <v>2</v>
      </c>
    </row>
    <row r="36" customFormat="false" ht="15.75" hidden="false" customHeight="false" outlineLevel="0" collapsed="false">
      <c r="A36" s="24" t="s">
        <v>166</v>
      </c>
      <c r="B36" s="23" t="n">
        <v>44049</v>
      </c>
      <c r="C36" s="11" t="s">
        <v>113</v>
      </c>
      <c r="D36" s="24" t="str">
        <f aca="false">VLOOKUP(SALIDAS[[Código Producto ]],PRODUCTOS[],2,0)</f>
        <v>Tocino Ahumado Natural x500g</v>
      </c>
      <c r="E36" s="24" t="n">
        <v>2</v>
      </c>
      <c r="F36" s="17" t="n">
        <f aca="false">SALIDAS[[#This Row],[Cantidad ]]*0.5</f>
        <v>1</v>
      </c>
    </row>
    <row r="37" customFormat="false" ht="15.75" hidden="false" customHeight="false" outlineLevel="0" collapsed="false">
      <c r="A37" s="24" t="s">
        <v>166</v>
      </c>
      <c r="B37" s="23" t="n">
        <v>44048</v>
      </c>
      <c r="C37" s="11" t="s">
        <v>45</v>
      </c>
      <c r="D37" s="24" t="str">
        <f aca="false">VLOOKUP(SALIDAS[[Código Producto ]],PRODUCTOS[],2,0)</f>
        <v>Frankfurter Gastronomico x 5Kg</v>
      </c>
      <c r="E37" s="24" t="n">
        <v>20</v>
      </c>
      <c r="F37" s="17" t="n">
        <f aca="false">SALIDAS[[#This Row],[Cantidad ]]*5</f>
        <v>100</v>
      </c>
    </row>
    <row r="38" customFormat="false" ht="15.75" hidden="false" customHeight="false" outlineLevel="0" collapsed="false">
      <c r="A38" s="24" t="s">
        <v>167</v>
      </c>
      <c r="B38" s="23" t="n">
        <v>44050</v>
      </c>
      <c r="C38" s="7" t="s">
        <v>49</v>
      </c>
      <c r="D38" s="24" t="str">
        <f aca="false">VLOOKUP(SALIDAS[[Código Producto ]],PRODUCTOS[],2,0)</f>
        <v>Frankfurter municipal x 3 unidades </v>
      </c>
      <c r="E38" s="24" t="n">
        <v>7</v>
      </c>
      <c r="F38" s="17" t="n">
        <f aca="false">SALIDAS[[#This Row],[Cantidad ]]*0.45</f>
        <v>3.15</v>
      </c>
    </row>
    <row r="39" customFormat="false" ht="15.75" hidden="false" customHeight="false" outlineLevel="0" collapsed="false">
      <c r="A39" s="24" t="s">
        <v>167</v>
      </c>
      <c r="B39" s="23" t="n">
        <v>44050</v>
      </c>
      <c r="C39" s="7" t="s">
        <v>109</v>
      </c>
      <c r="D39" s="24" t="str">
        <f aca="false">VLOOKUP(SALIDAS[[Código Producto ]],PRODUCTOS[],2,0)</f>
        <v>Tocino Ahumado Natural x200g</v>
      </c>
      <c r="E39" s="24" t="n">
        <v>4</v>
      </c>
      <c r="F39" s="17" t="n">
        <f aca="false">SALIDAS[[#This Row],[Cantidad ]]*0.2</f>
        <v>0.8</v>
      </c>
    </row>
    <row r="40" customFormat="false" ht="15.75" hidden="false" customHeight="false" outlineLevel="0" collapsed="false">
      <c r="A40" s="24" t="s">
        <v>168</v>
      </c>
      <c r="B40" s="23" t="n">
        <v>44050</v>
      </c>
      <c r="C40" s="7" t="s">
        <v>36</v>
      </c>
      <c r="D40" s="24" t="str">
        <f aca="false">VLOOKUP(SALIDAS[[Código Producto ]],PRODUCTOS[],2,0)</f>
        <v>Cordero Franz Doner Kebab Lamb </v>
      </c>
      <c r="E40" s="24" t="n">
        <v>1</v>
      </c>
      <c r="F40" s="17" t="n">
        <f aca="false">SALIDAS[[#This Row],[Cantidad ]]*0.25</f>
        <v>0.25</v>
      </c>
    </row>
    <row r="41" customFormat="false" ht="15.75" hidden="false" customHeight="false" outlineLevel="0" collapsed="false">
      <c r="A41" s="24" t="s">
        <v>156</v>
      </c>
      <c r="B41" s="23" t="n">
        <v>44050</v>
      </c>
      <c r="C41" s="7" t="s">
        <v>41</v>
      </c>
      <c r="D41" s="24" t="str">
        <f aca="false">VLOOKUP(SALIDAS[[Código Producto ]],PRODUCTOS[],2,0)</f>
        <v>Frankfurter cocktail x 10 unidades x 250g</v>
      </c>
      <c r="E41" s="24" t="n">
        <v>10</v>
      </c>
      <c r="F41" s="17" t="n">
        <f aca="false">SALIDAS[[#This Row],[Cantidad ]]*0.25</f>
        <v>2.5</v>
      </c>
    </row>
    <row r="42" customFormat="false" ht="15.75" hidden="false" customHeight="false" outlineLevel="0" collapsed="false">
      <c r="A42" s="24" t="s">
        <v>156</v>
      </c>
      <c r="B42" s="23" t="n">
        <v>44050</v>
      </c>
      <c r="C42" s="11" t="s">
        <v>125</v>
      </c>
      <c r="D42" s="24" t="str">
        <f aca="false">VLOOKUP(SALIDAS[[Código Producto ]],PRODUCTOS[],2,0)</f>
        <v>Vienesa x 5 unidades X 250g</v>
      </c>
      <c r="E42" s="24" t="n">
        <v>9</v>
      </c>
      <c r="F42" s="17" t="n">
        <f aca="false">SALIDAS[[#This Row],[Cantidad ]]*0.25</f>
        <v>2.25</v>
      </c>
    </row>
    <row r="43" customFormat="false" ht="15.75" hidden="false" customHeight="false" outlineLevel="0" collapsed="false">
      <c r="A43" s="24" t="s">
        <v>156</v>
      </c>
      <c r="B43" s="23" t="n">
        <v>44050</v>
      </c>
      <c r="C43" s="11" t="s">
        <v>47</v>
      </c>
      <c r="D43" s="24" t="str">
        <f aca="false">VLOOKUP(SALIDAS[[Código Producto ]],PRODUCTOS[],2,0)</f>
        <v>Frankfurter granel x 4 unidades 250g</v>
      </c>
      <c r="E43" s="24" t="n">
        <v>10</v>
      </c>
      <c r="F43" s="17" t="n">
        <f aca="false">SALIDAS[[#This Row],[Cantidad ]]*0.24</f>
        <v>2.4</v>
      </c>
    </row>
    <row r="44" customFormat="false" ht="15.75" hidden="false" customHeight="false" outlineLevel="0" collapsed="false">
      <c r="A44" s="24" t="s">
        <v>156</v>
      </c>
      <c r="B44" s="23" t="n">
        <v>44050</v>
      </c>
      <c r="C44" s="7" t="s">
        <v>93</v>
      </c>
      <c r="D44" s="24" t="str">
        <f aca="false">VLOOKUP(SALIDAS[[Código Producto ]],PRODUCTOS[],2,0)</f>
        <v>Longaniza Huachana x 350g</v>
      </c>
      <c r="E44" s="24" t="n">
        <v>5</v>
      </c>
      <c r="F44" s="17" t="n">
        <f aca="false">SALIDAS[[#This Row],[Cantidad ]]*0.35</f>
        <v>1.75</v>
      </c>
    </row>
    <row r="45" customFormat="false" ht="15.75" hidden="false" customHeight="false" outlineLevel="0" collapsed="false">
      <c r="A45" s="24" t="s">
        <v>169</v>
      </c>
      <c r="B45" s="23" t="n">
        <v>44050</v>
      </c>
      <c r="C45" s="7" t="s">
        <v>28</v>
      </c>
      <c r="D45" s="24" t="str">
        <f aca="false">VLOOKUP(SALIDAS[[Código Producto ]],PRODUCTOS[],2,0)</f>
        <v>Chorizo Oxford x 4 unidades 400g</v>
      </c>
      <c r="E45" s="24" t="n">
        <v>5</v>
      </c>
      <c r="F45" s="17" t="n">
        <f aca="false">SALIDAS[[#This Row],[Cantidad ]]*0.4</f>
        <v>2</v>
      </c>
    </row>
    <row r="46" customFormat="false" ht="15.75" hidden="false" customHeight="false" outlineLevel="0" collapsed="false">
      <c r="A46" s="24" t="s">
        <v>169</v>
      </c>
      <c r="B46" s="23" t="n">
        <v>44050</v>
      </c>
      <c r="C46" s="7" t="s">
        <v>20</v>
      </c>
      <c r="D46" s="24" t="str">
        <f aca="false">VLOOKUP(SALIDAS[[Código Producto ]],PRODUCTOS[],2,0)</f>
        <v>Chorizo finas hierbas x 4 unidades 400g</v>
      </c>
      <c r="E46" s="24" t="n">
        <v>5</v>
      </c>
      <c r="F46" s="17" t="n">
        <f aca="false">SALIDAS[[#This Row],[Cantidad ]]*0.4</f>
        <v>2</v>
      </c>
    </row>
    <row r="47" customFormat="false" ht="15.75" hidden="false" customHeight="false" outlineLevel="0" collapsed="false">
      <c r="A47" s="24" t="s">
        <v>169</v>
      </c>
      <c r="B47" s="23" t="n">
        <v>44050</v>
      </c>
      <c r="C47" s="11" t="s">
        <v>125</v>
      </c>
      <c r="D47" s="24" t="str">
        <f aca="false">VLOOKUP(SALIDAS[[Código Producto ]],PRODUCTOS[],2,0)</f>
        <v>Vienesa x 5 unidades X 250g</v>
      </c>
      <c r="E47" s="24" t="n">
        <v>5</v>
      </c>
      <c r="F47" s="17" t="n">
        <f aca="false">SALIDAS[[#This Row],[Cantidad ]]*0.25</f>
        <v>1.25</v>
      </c>
    </row>
    <row r="48" customFormat="false" ht="15.75" hidden="false" customHeight="false" outlineLevel="0" collapsed="false">
      <c r="A48" s="24" t="s">
        <v>169</v>
      </c>
      <c r="B48" s="23" t="n">
        <v>44050</v>
      </c>
      <c r="C48" s="11" t="s">
        <v>47</v>
      </c>
      <c r="D48" s="24" t="str">
        <f aca="false">VLOOKUP(SALIDAS[[Código Producto ]],PRODUCTOS[],2,0)</f>
        <v>Frankfurter granel x 4 unidades 250g</v>
      </c>
      <c r="E48" s="24" t="n">
        <v>4</v>
      </c>
      <c r="F48" s="17" t="n">
        <f aca="false">SALIDAS[[#This Row],[Cantidad ]]*0.24</f>
        <v>0.96</v>
      </c>
    </row>
    <row r="49" customFormat="false" ht="15.75" hidden="false" customHeight="false" outlineLevel="0" collapsed="false">
      <c r="A49" s="24" t="s">
        <v>169</v>
      </c>
      <c r="B49" s="23" t="n">
        <v>44050</v>
      </c>
      <c r="C49" s="7" t="s">
        <v>49</v>
      </c>
      <c r="D49" s="24" t="str">
        <f aca="false">VLOOKUP(SALIDAS[[Código Producto ]],PRODUCTOS[],2,0)</f>
        <v>Frankfurter municipal x 3 unidades </v>
      </c>
      <c r="E49" s="24" t="n">
        <v>4</v>
      </c>
      <c r="F49" s="17" t="n">
        <f aca="false">SALIDAS[[#This Row],[Cantidad ]]*0.45</f>
        <v>1.8</v>
      </c>
    </row>
    <row r="50" customFormat="false" ht="15.75" hidden="false" customHeight="false" outlineLevel="0" collapsed="false">
      <c r="A50" s="22" t="s">
        <v>170</v>
      </c>
      <c r="B50" s="23" t="n">
        <v>44050</v>
      </c>
      <c r="C50" s="7" t="s">
        <v>103</v>
      </c>
      <c r="D50" s="24" t="str">
        <f aca="false">VLOOKUP(SALIDAS[[Código Producto ]],PRODUCTOS[],2,0)</f>
        <v>Solomillo x KILO </v>
      </c>
      <c r="E50" s="24" t="n">
        <v>2.94</v>
      </c>
      <c r="F50" s="17" t="n">
        <f aca="false">SALIDAS[[#This Row],[Cantidad ]]</f>
        <v>2.94</v>
      </c>
    </row>
    <row r="51" customFormat="false" ht="15.75" hidden="false" customHeight="false" outlineLevel="0" collapsed="false">
      <c r="A51" s="22" t="s">
        <v>170</v>
      </c>
      <c r="B51" s="23" t="n">
        <v>44050</v>
      </c>
      <c r="C51" s="7" t="s">
        <v>109</v>
      </c>
      <c r="D51" s="24" t="str">
        <f aca="false">VLOOKUP(SALIDAS[[Código Producto ]],PRODUCTOS[],2,0)</f>
        <v>Tocino Ahumado Natural x200g</v>
      </c>
      <c r="E51" s="24" t="n">
        <v>10</v>
      </c>
      <c r="F51" s="17" t="n">
        <f aca="false">SALIDAS[[#This Row],[Cantidad ]]*0.2</f>
        <v>2</v>
      </c>
    </row>
    <row r="52" customFormat="false" ht="15.75" hidden="false" customHeight="false" outlineLevel="0" collapsed="false">
      <c r="A52" s="22" t="s">
        <v>171</v>
      </c>
      <c r="B52" s="23" t="n">
        <v>44051</v>
      </c>
      <c r="C52" s="7" t="s">
        <v>28</v>
      </c>
      <c r="D52" s="24" t="str">
        <f aca="false">VLOOKUP(SALIDAS[[Código Producto ]],PRODUCTOS[],2,0)</f>
        <v>Chorizo Oxford x 4 unidades 400g</v>
      </c>
      <c r="E52" s="24" t="n">
        <v>1</v>
      </c>
      <c r="F52" s="17" t="n">
        <f aca="false">SALIDAS[[#This Row],[Cantidad ]]*0.4</f>
        <v>0.4</v>
      </c>
    </row>
    <row r="53" customFormat="false" ht="15.75" hidden="false" customHeight="false" outlineLevel="0" collapsed="false">
      <c r="A53" s="22" t="s">
        <v>171</v>
      </c>
      <c r="B53" s="23" t="n">
        <v>44051</v>
      </c>
      <c r="C53" s="7" t="s">
        <v>30</v>
      </c>
      <c r="D53" s="24" t="str">
        <f aca="false">VLOOKUP(SALIDAS[[Código Producto ]],PRODUCTOS[],2,0)</f>
        <v>Chorizo Oxford x 6 unidades 600g</v>
      </c>
      <c r="E53" s="24" t="n">
        <v>1</v>
      </c>
      <c r="F53" s="17" t="n">
        <f aca="false">SALIDAS[[#This Row],[Cantidad ]]*0.6</f>
        <v>0.6</v>
      </c>
    </row>
    <row r="54" customFormat="false" ht="15.75" hidden="false" customHeight="false" outlineLevel="0" collapsed="false">
      <c r="A54" s="22" t="s">
        <v>171</v>
      </c>
      <c r="B54" s="23" t="n">
        <v>44051</v>
      </c>
      <c r="C54" s="7" t="s">
        <v>20</v>
      </c>
      <c r="D54" s="24" t="str">
        <f aca="false">VLOOKUP(SALIDAS[[Código Producto ]],PRODUCTOS[],2,0)</f>
        <v>Chorizo finas hierbas x 4 unidades 400g</v>
      </c>
      <c r="E54" s="24" t="n">
        <v>1</v>
      </c>
      <c r="F54" s="17" t="n">
        <f aca="false">SALIDAS[[#This Row],[Cantidad ]]*0.4</f>
        <v>0.4</v>
      </c>
    </row>
    <row r="55" customFormat="false" ht="15.75" hidden="false" customHeight="false" outlineLevel="0" collapsed="false">
      <c r="A55" s="22" t="s">
        <v>171</v>
      </c>
      <c r="B55" s="23" t="n">
        <v>44051</v>
      </c>
      <c r="C55" s="7" t="s">
        <v>22</v>
      </c>
      <c r="D55" s="24" t="str">
        <f aca="false">VLOOKUP(SALIDAS[[Código Producto ]],PRODUCTOS[],2,0)</f>
        <v>Chorizo finas hierbas x 6 unidades 600g</v>
      </c>
      <c r="E55" s="24" t="n">
        <v>1</v>
      </c>
      <c r="F55" s="17" t="n">
        <f aca="false">SALIDAS[[#This Row],[Cantidad ]]*0.6</f>
        <v>0.6</v>
      </c>
    </row>
    <row r="56" customFormat="false" ht="15.75" hidden="false" customHeight="false" outlineLevel="0" collapsed="false">
      <c r="A56" s="22" t="s">
        <v>171</v>
      </c>
      <c r="B56" s="23" t="n">
        <v>44051</v>
      </c>
      <c r="C56" s="11" t="s">
        <v>47</v>
      </c>
      <c r="D56" s="24" t="str">
        <f aca="false">VLOOKUP(SALIDAS[[Código Producto ]],PRODUCTOS[],2,0)</f>
        <v>Frankfurter granel x 4 unidades 250g</v>
      </c>
      <c r="E56" s="24" t="n">
        <v>4</v>
      </c>
      <c r="F56" s="17" t="n">
        <f aca="false">SALIDAS[[#This Row],[Cantidad ]]*0.24</f>
        <v>0.96</v>
      </c>
    </row>
    <row r="57" customFormat="false" ht="15.75" hidden="false" customHeight="false" outlineLevel="0" collapsed="false">
      <c r="A57" s="22" t="s">
        <v>171</v>
      </c>
      <c r="B57" s="23" t="n">
        <v>44051</v>
      </c>
      <c r="C57" s="11" t="s">
        <v>97</v>
      </c>
      <c r="D57" s="24" t="str">
        <f aca="false">VLOOKUP(SALIDAS[[Código Producto ]],PRODUCTOS[],2,0)</f>
        <v>Morcilla Granel x3</v>
      </c>
      <c r="E57" s="24" t="n">
        <v>2</v>
      </c>
      <c r="F57" s="17" t="n">
        <f aca="false">SALIDAS[[#This Row],[Cantidad ]]*0.25</f>
        <v>0.5</v>
      </c>
    </row>
    <row r="58" customFormat="false" ht="15.75" hidden="false" customHeight="false" outlineLevel="0" collapsed="false">
      <c r="A58" s="22" t="s">
        <v>171</v>
      </c>
      <c r="B58" s="23" t="n">
        <v>44051</v>
      </c>
      <c r="C58" s="11" t="s">
        <v>125</v>
      </c>
      <c r="D58" s="24" t="str">
        <f aca="false">VLOOKUP(SALIDAS[[Código Producto ]],PRODUCTOS[],2,0)</f>
        <v>Vienesa x 5 unidades X 250g</v>
      </c>
      <c r="E58" s="24" t="n">
        <v>1</v>
      </c>
      <c r="F58" s="17" t="n">
        <f aca="false">SALIDAS[[#This Row],[Cantidad ]]*0.25</f>
        <v>0.25</v>
      </c>
    </row>
    <row r="59" customFormat="false" ht="15.75" hidden="false" customHeight="false" outlineLevel="0" collapsed="false">
      <c r="A59" s="22" t="s">
        <v>171</v>
      </c>
      <c r="B59" s="23" t="n">
        <v>44051</v>
      </c>
      <c r="C59" s="7" t="s">
        <v>8</v>
      </c>
      <c r="D59" s="24" t="str">
        <f aca="false">VLOOKUP(SALIDAS[[Código Producto ]],PRODUCTOS[],2,0)</f>
        <v>Bratwurst x 4 unidades 320g </v>
      </c>
      <c r="E59" s="24" t="n">
        <v>1</v>
      </c>
      <c r="F59" s="17" t="n">
        <f aca="false">SALIDAS[[#This Row],[Cantidad ]]*0.32</f>
        <v>0.32</v>
      </c>
    </row>
    <row r="60" customFormat="false" ht="15.75" hidden="false" customHeight="false" outlineLevel="0" collapsed="false">
      <c r="A60" s="22" t="s">
        <v>171</v>
      </c>
      <c r="B60" s="23" t="n">
        <v>44051</v>
      </c>
      <c r="C60" s="7" t="s">
        <v>14</v>
      </c>
      <c r="D60" s="24" t="str">
        <f aca="false">VLOOKUP(SALIDAS[[Código Producto ]],PRODUCTOS[],2,0)</f>
        <v>Chistorra Huachana x 6 unidades 150g</v>
      </c>
      <c r="E60" s="24" t="n">
        <v>1</v>
      </c>
      <c r="F60" s="17" t="n">
        <f aca="false">SALIDAS[[#This Row],[Cantidad ]]*0.15</f>
        <v>0.15</v>
      </c>
    </row>
    <row r="61" customFormat="false" ht="15.75" hidden="false" customHeight="false" outlineLevel="0" collapsed="false">
      <c r="A61" s="22" t="s">
        <v>171</v>
      </c>
      <c r="B61" s="23" t="n">
        <v>44051</v>
      </c>
      <c r="C61" s="7" t="s">
        <v>75</v>
      </c>
      <c r="D61" s="24" t="str">
        <f aca="false">VLOOKUP(SALIDAS[[Código Producto ]],PRODUCTOS[],2,0)</f>
        <v>Jamon Ingles x 250g</v>
      </c>
      <c r="E61" s="24" t="n">
        <v>1</v>
      </c>
      <c r="F61" s="17" t="n">
        <f aca="false">SALIDAS[[#This Row],[Cantidad ]]*0.25</f>
        <v>0.25</v>
      </c>
    </row>
    <row r="62" customFormat="false" ht="15.75" hidden="false" customHeight="false" outlineLevel="0" collapsed="false">
      <c r="A62" s="22" t="s">
        <v>171</v>
      </c>
      <c r="B62" s="23" t="n">
        <v>44051</v>
      </c>
      <c r="C62" s="7" t="s">
        <v>93</v>
      </c>
      <c r="D62" s="24" t="str">
        <f aca="false">VLOOKUP(SALIDAS[[Código Producto ]],PRODUCTOS[],2,0)</f>
        <v>Longaniza Huachana x 350g</v>
      </c>
      <c r="E62" s="24" t="n">
        <v>1</v>
      </c>
      <c r="F62" s="17" t="n">
        <f aca="false">SALIDAS[[#This Row],[Cantidad ]]*0.35</f>
        <v>0.35</v>
      </c>
    </row>
    <row r="63" customFormat="false" ht="15.75" hidden="false" customHeight="false" outlineLevel="0" collapsed="false">
      <c r="A63" s="22" t="s">
        <v>171</v>
      </c>
      <c r="B63" s="23" t="n">
        <v>44051</v>
      </c>
      <c r="C63" s="11" t="s">
        <v>34</v>
      </c>
      <c r="D63" s="24" t="str">
        <f aca="false">VLOOKUP(SALIDAS[[Código Producto ]],PRODUCTOS[],2,0)</f>
        <v>Chorizo Sweet Spicy 600g</v>
      </c>
      <c r="E63" s="24" t="n">
        <v>1</v>
      </c>
      <c r="F63" s="17" t="n">
        <f aca="false">SALIDAS[[#This Row],[Cantidad ]]*0.6</f>
        <v>0.6</v>
      </c>
    </row>
    <row r="64" customFormat="false" ht="15.75" hidden="false" customHeight="false" outlineLevel="0" collapsed="false">
      <c r="A64" s="22" t="s">
        <v>172</v>
      </c>
      <c r="B64" s="23" t="n">
        <v>44053</v>
      </c>
      <c r="C64" s="7" t="s">
        <v>8</v>
      </c>
      <c r="D64" s="24" t="str">
        <f aca="false">VLOOKUP(SALIDAS[[Código Producto ]],PRODUCTOS[],2,0)</f>
        <v>Bratwurst x 4 unidades 320g </v>
      </c>
      <c r="E64" s="24" t="n">
        <v>3</v>
      </c>
      <c r="F64" s="17" t="n">
        <f aca="false">SALIDAS[[#This Row],[Cantidad ]]*0.32</f>
        <v>0.96</v>
      </c>
    </row>
    <row r="65" customFormat="false" ht="15.75" hidden="false" customHeight="false" outlineLevel="0" collapsed="false">
      <c r="A65" s="22" t="s">
        <v>172</v>
      </c>
      <c r="B65" s="23" t="n">
        <v>44053</v>
      </c>
      <c r="C65" s="7" t="s">
        <v>14</v>
      </c>
      <c r="D65" s="24" t="str">
        <f aca="false">VLOOKUP(SALIDAS[[Código Producto ]],PRODUCTOS[],2,0)</f>
        <v>Chistorra Huachana x 6 unidades 150g</v>
      </c>
      <c r="E65" s="24" t="n">
        <v>3</v>
      </c>
      <c r="F65" s="17" t="n">
        <f aca="false">SALIDAS[[#This Row],[Cantidad ]]*0.15</f>
        <v>0.45</v>
      </c>
    </row>
    <row r="66" customFormat="false" ht="15.75" hidden="false" customHeight="false" outlineLevel="0" collapsed="false">
      <c r="A66" s="22" t="s">
        <v>172</v>
      </c>
      <c r="B66" s="23" t="n">
        <v>44053</v>
      </c>
      <c r="C66" s="7" t="s">
        <v>77</v>
      </c>
      <c r="D66" s="24" t="str">
        <f aca="false">VLOOKUP(SALIDAS[[Código Producto ]],PRODUCTOS[],2,0)</f>
        <v>Jamon Ingles x 300g </v>
      </c>
      <c r="E66" s="24" t="n">
        <v>2</v>
      </c>
      <c r="F66" s="17" t="n">
        <f aca="false">SALIDAS[[#This Row],[Cantidad ]]*0.3</f>
        <v>0.6</v>
      </c>
    </row>
    <row r="67" customFormat="false" ht="15.75" hidden="false" customHeight="false" outlineLevel="0" collapsed="false">
      <c r="A67" s="24" t="s">
        <v>173</v>
      </c>
      <c r="B67" s="23" t="n">
        <v>44053</v>
      </c>
      <c r="C67" s="7" t="s">
        <v>22</v>
      </c>
      <c r="D67" s="24" t="str">
        <f aca="false">VLOOKUP(SALIDAS[[Código Producto ]],PRODUCTOS[],2,0)</f>
        <v>Chorizo finas hierbas x 6 unidades 600g</v>
      </c>
      <c r="E67" s="24" t="n">
        <v>1</v>
      </c>
      <c r="F67" s="17" t="n">
        <f aca="false">SALIDAS[[#This Row],[Cantidad ]]*0.6</f>
        <v>0.6</v>
      </c>
    </row>
    <row r="68" customFormat="false" ht="15.75" hidden="false" customHeight="false" outlineLevel="0" collapsed="false">
      <c r="A68" s="24" t="s">
        <v>173</v>
      </c>
      <c r="B68" s="23" t="n">
        <v>44053</v>
      </c>
      <c r="C68" s="11" t="s">
        <v>125</v>
      </c>
      <c r="D68" s="24" t="str">
        <f aca="false">VLOOKUP(SALIDAS[[Código Producto ]],PRODUCTOS[],2,0)</f>
        <v>Vienesa x 5 unidades X 250g</v>
      </c>
      <c r="E68" s="24" t="n">
        <v>1</v>
      </c>
      <c r="F68" s="17" t="n">
        <f aca="false">SALIDAS[[#This Row],[Cantidad ]]*0.25</f>
        <v>0.25</v>
      </c>
    </row>
    <row r="69" customFormat="false" ht="15.75" hidden="false" customHeight="false" outlineLevel="0" collapsed="false">
      <c r="A69" s="24" t="s">
        <v>174</v>
      </c>
      <c r="B69" s="23" t="n">
        <v>44053</v>
      </c>
      <c r="C69" s="7" t="s">
        <v>28</v>
      </c>
      <c r="D69" s="24" t="str">
        <f aca="false">VLOOKUP(SALIDAS[[Código Producto ]],PRODUCTOS[],2,0)</f>
        <v>Chorizo Oxford x 4 unidades 400g</v>
      </c>
      <c r="E69" s="24" t="n">
        <v>3</v>
      </c>
      <c r="F69" s="17" t="n">
        <f aca="false">SALIDAS[[#This Row],[Cantidad ]]*0.4</f>
        <v>1.2</v>
      </c>
    </row>
    <row r="70" customFormat="false" ht="15.75" hidden="false" customHeight="false" outlineLevel="0" collapsed="false">
      <c r="A70" s="24" t="s">
        <v>174</v>
      </c>
      <c r="B70" s="23" t="n">
        <v>44053</v>
      </c>
      <c r="C70" s="11" t="s">
        <v>34</v>
      </c>
      <c r="D70" s="24" t="str">
        <f aca="false">VLOOKUP(SALIDAS[[Código Producto ]],PRODUCTOS[],2,0)</f>
        <v>Chorizo Sweet Spicy 600g</v>
      </c>
      <c r="E70" s="24" t="n">
        <v>3</v>
      </c>
      <c r="F70" s="17" t="n">
        <f aca="false">SALIDAS[[#This Row],[Cantidad ]]*0.6</f>
        <v>1.8</v>
      </c>
    </row>
    <row r="71" customFormat="false" ht="15.75" hidden="false" customHeight="false" outlineLevel="0" collapsed="false">
      <c r="A71" s="24" t="s">
        <v>174</v>
      </c>
      <c r="B71" s="23" t="n">
        <v>44053</v>
      </c>
      <c r="C71" s="11" t="s">
        <v>97</v>
      </c>
      <c r="D71" s="24" t="str">
        <f aca="false">VLOOKUP(SALIDAS[[Código Producto ]],PRODUCTOS[],2,0)</f>
        <v>Morcilla Granel x3</v>
      </c>
      <c r="E71" s="24" t="n">
        <v>3</v>
      </c>
      <c r="F71" s="17" t="n">
        <f aca="false">SALIDAS[[#This Row],[Cantidad ]]*0.25</f>
        <v>0.75</v>
      </c>
    </row>
    <row r="72" customFormat="false" ht="15.75" hidden="false" customHeight="false" outlineLevel="0" collapsed="false">
      <c r="A72" s="24" t="s">
        <v>174</v>
      </c>
      <c r="B72" s="23" t="n">
        <v>44053</v>
      </c>
      <c r="C72" s="7" t="s">
        <v>20</v>
      </c>
      <c r="D72" s="24" t="str">
        <f aca="false">VLOOKUP(SALIDAS[[Código Producto ]],PRODUCTOS[],2,0)</f>
        <v>Chorizo finas hierbas x 4 unidades 400g</v>
      </c>
      <c r="E72" s="24" t="n">
        <v>3</v>
      </c>
      <c r="F72" s="17" t="n">
        <f aca="false">SALIDAS[[#This Row],[Cantidad ]]*0.4</f>
        <v>1.2</v>
      </c>
    </row>
    <row r="73" customFormat="false" ht="15.75" hidden="false" customHeight="false" outlineLevel="0" collapsed="false">
      <c r="A73" s="24" t="s">
        <v>156</v>
      </c>
      <c r="B73" s="23" t="n">
        <v>44054</v>
      </c>
      <c r="C73" s="11" t="s">
        <v>47</v>
      </c>
      <c r="D73" s="24" t="str">
        <f aca="false">VLOOKUP(SALIDAS[[Código Producto ]],PRODUCTOS[],2,0)</f>
        <v>Frankfurter granel x 4 unidades 250g</v>
      </c>
      <c r="E73" s="24" t="n">
        <v>15</v>
      </c>
      <c r="F73" s="17" t="n">
        <f aca="false">SALIDAS[[#This Row],[Cantidad ]]*0.24</f>
        <v>3.6</v>
      </c>
    </row>
    <row r="74" customFormat="false" ht="15.75" hidden="false" customHeight="false" outlineLevel="0" collapsed="false">
      <c r="A74" s="24" t="s">
        <v>156</v>
      </c>
      <c r="B74" s="23" t="n">
        <v>44054</v>
      </c>
      <c r="C74" s="11" t="s">
        <v>117</v>
      </c>
      <c r="D74" s="24" t="str">
        <f aca="false">VLOOKUP(SALIDAS[[Código Producto ]],PRODUCTOS[],2,0)</f>
        <v>Tocino Ahumado Redondo  x 200g (ROJO)</v>
      </c>
      <c r="E74" s="24" t="n">
        <v>35</v>
      </c>
      <c r="F74" s="17" t="n">
        <f aca="false">SALIDAS[[#This Row],[Cantidad ]]*0.2</f>
        <v>7</v>
      </c>
    </row>
    <row r="75" customFormat="false" ht="15.75" hidden="false" customHeight="false" outlineLevel="0" collapsed="false">
      <c r="A75" s="24" t="s">
        <v>156</v>
      </c>
      <c r="B75" s="23" t="n">
        <v>44054</v>
      </c>
      <c r="C75" s="7" t="s">
        <v>69</v>
      </c>
      <c r="D75" s="24" t="str">
        <f aca="false">VLOOKUP(SALIDAS[[Código Producto ]],PRODUCTOS[],2,0)</f>
        <v>Jamon del país artesanal 250g</v>
      </c>
      <c r="E75" s="24" t="n">
        <v>8</v>
      </c>
      <c r="F75" s="17" t="n">
        <f aca="false">SALIDAS[[#This Row],[Cantidad ]]*0.25</f>
        <v>2</v>
      </c>
    </row>
    <row r="76" customFormat="false" ht="15.75" hidden="false" customHeight="false" outlineLevel="0" collapsed="false">
      <c r="A76" s="24" t="s">
        <v>156</v>
      </c>
      <c r="B76" s="23" t="n">
        <v>44054</v>
      </c>
      <c r="C76" s="7" t="s">
        <v>14</v>
      </c>
      <c r="D76" s="24" t="str">
        <f aca="false">VLOOKUP(SALIDAS[[Código Producto ]],PRODUCTOS[],2,0)</f>
        <v>Chistorra Huachana x 6 unidades 150g</v>
      </c>
      <c r="E76" s="24" t="n">
        <v>5</v>
      </c>
      <c r="F76" s="17" t="n">
        <f aca="false">SALIDAS[[#This Row],[Cantidad ]]*0.15</f>
        <v>0.75</v>
      </c>
    </row>
    <row r="77" customFormat="false" ht="15.75" hidden="false" customHeight="false" outlineLevel="0" collapsed="false">
      <c r="A77" s="24" t="s">
        <v>156</v>
      </c>
      <c r="B77" s="23" t="n">
        <v>44054</v>
      </c>
      <c r="C77" s="11" t="s">
        <v>97</v>
      </c>
      <c r="D77" s="24" t="str">
        <f aca="false">VLOOKUP(SALIDAS[[Código Producto ]],PRODUCTOS[],2,0)</f>
        <v>Morcilla Granel x3</v>
      </c>
      <c r="E77" s="24" t="n">
        <v>10</v>
      </c>
      <c r="F77" s="17" t="n">
        <f aca="false">SALIDAS[[#This Row],[Cantidad ]]*0.25</f>
        <v>2.5</v>
      </c>
    </row>
    <row r="78" customFormat="false" ht="15.75" hidden="false" customHeight="false" outlineLevel="0" collapsed="false">
      <c r="A78" s="24" t="s">
        <v>159</v>
      </c>
      <c r="B78" s="23" t="n">
        <v>44055</v>
      </c>
      <c r="C78" s="11" t="s">
        <v>125</v>
      </c>
      <c r="D78" s="24" t="str">
        <f aca="false">VLOOKUP(SALIDAS[[Código Producto ]],PRODUCTOS[],2,0)</f>
        <v>Vienesa x 5 unidades X 250g</v>
      </c>
      <c r="E78" s="24" t="n">
        <v>80</v>
      </c>
      <c r="F78" s="17" t="n">
        <f aca="false">SALIDAS[[#This Row],[Cantidad ]]*0.25</f>
        <v>20</v>
      </c>
    </row>
    <row r="79" customFormat="false" ht="15.75" hidden="false" customHeight="false" outlineLevel="0" collapsed="false">
      <c r="A79" s="24" t="s">
        <v>169</v>
      </c>
      <c r="B79" s="23" t="n">
        <v>44055</v>
      </c>
      <c r="C79" s="7" t="s">
        <v>73</v>
      </c>
      <c r="D79" s="24" t="str">
        <f aca="false">VLOOKUP(SALIDAS[[Código Producto ]],PRODUCTOS[],2,0)</f>
        <v>Jamon Ingles (Entero)</v>
      </c>
      <c r="E79" s="24" t="n">
        <v>4.595</v>
      </c>
      <c r="F79" s="17" t="n">
        <f aca="false">SALIDAS[[#This Row],[Cantidad ]]</f>
        <v>4.595</v>
      </c>
    </row>
    <row r="80" customFormat="false" ht="15.75" hidden="false" customHeight="false" outlineLevel="0" collapsed="false">
      <c r="A80" s="24" t="s">
        <v>169</v>
      </c>
      <c r="B80" s="23" t="n">
        <v>44055</v>
      </c>
      <c r="C80" s="11" t="s">
        <v>129</v>
      </c>
      <c r="D80" s="24" t="str">
        <f aca="false">VLOOKUP(SALIDAS[[Código Producto ]],PRODUCTOS[],2,0)</f>
        <v>Jamon tata entero</v>
      </c>
      <c r="E80" s="24" t="n">
        <v>2.71</v>
      </c>
      <c r="F80" s="17" t="n">
        <f aca="false">SALIDAS[[#This Row],[Cantidad ]]</f>
        <v>2.71</v>
      </c>
    </row>
    <row r="81" customFormat="false" ht="15.75" hidden="false" customHeight="false" outlineLevel="0" collapsed="false">
      <c r="A81" s="24" t="s">
        <v>169</v>
      </c>
      <c r="B81" s="23" t="n">
        <v>44055</v>
      </c>
      <c r="C81" s="7" t="s">
        <v>109</v>
      </c>
      <c r="D81" s="24" t="str">
        <f aca="false">VLOOKUP(SALIDAS[[Código Producto ]],PRODUCTOS[],2,0)</f>
        <v>Tocino Ahumado Natural x200g</v>
      </c>
      <c r="E81" s="24" t="n">
        <v>5</v>
      </c>
      <c r="F81" s="17" t="n">
        <f aca="false">SALIDAS[[#This Row],[Cantidad ]]*0.2</f>
        <v>1</v>
      </c>
    </row>
    <row r="82" customFormat="false" ht="15.75" hidden="false" customHeight="false" outlineLevel="0" collapsed="false">
      <c r="A82" s="24" t="s">
        <v>169</v>
      </c>
      <c r="B82" s="23" t="n">
        <v>44055</v>
      </c>
      <c r="C82" s="11" t="s">
        <v>125</v>
      </c>
      <c r="D82" s="24" t="str">
        <f aca="false">VLOOKUP(SALIDAS[[Código Producto ]],PRODUCTOS[],2,0)</f>
        <v>Vienesa x 5 unidades X 250g</v>
      </c>
      <c r="E82" s="24" t="n">
        <v>3</v>
      </c>
      <c r="F82" s="17" t="n">
        <f aca="false">SALIDAS[[#This Row],[Cantidad ]]*0.25</f>
        <v>0.75</v>
      </c>
    </row>
    <row r="83" customFormat="false" ht="15.75" hidden="false" customHeight="false" outlineLevel="0" collapsed="false">
      <c r="A83" s="24" t="s">
        <v>169</v>
      </c>
      <c r="B83" s="23" t="n">
        <v>44055</v>
      </c>
      <c r="C83" s="7" t="s">
        <v>41</v>
      </c>
      <c r="D83" s="24" t="str">
        <f aca="false">VLOOKUP(SALIDAS[[Código Producto ]],PRODUCTOS[],2,0)</f>
        <v>Frankfurter cocktail x 10 unidades x 250g</v>
      </c>
      <c r="E83" s="24" t="n">
        <v>5</v>
      </c>
      <c r="F83" s="17" t="n">
        <f aca="false">SALIDAS[[#This Row],[Cantidad ]]*0.25</f>
        <v>1.25</v>
      </c>
    </row>
    <row r="84" customFormat="false" ht="15.75" hidden="false" customHeight="false" outlineLevel="0" collapsed="false">
      <c r="A84" s="24" t="s">
        <v>158</v>
      </c>
      <c r="B84" s="23" t="n">
        <v>44056</v>
      </c>
      <c r="C84" s="7" t="s">
        <v>79</v>
      </c>
      <c r="D84" s="24" t="str">
        <f aca="false">VLOOKUP(SALIDAS[[Código Producto ]],PRODUCTOS[],2,0)</f>
        <v>Jamon pizza  x 3.2 Kg (Entero)</v>
      </c>
      <c r="E84" s="24" t="n">
        <v>24.87</v>
      </c>
      <c r="F84" s="17" t="n">
        <f aca="false">SALIDAS[[#This Row],[Cantidad ]]</f>
        <v>24.87</v>
      </c>
    </row>
    <row r="85" customFormat="false" ht="15.75" hidden="false" customHeight="false" outlineLevel="0" collapsed="false">
      <c r="A85" s="24" t="s">
        <v>158</v>
      </c>
      <c r="B85" s="23" t="n">
        <v>44056</v>
      </c>
      <c r="C85" s="11" t="s">
        <v>125</v>
      </c>
      <c r="D85" s="24" t="str">
        <f aca="false">VLOOKUP(SALIDAS[[Código Producto ]],PRODUCTOS[],2,0)</f>
        <v>Vienesa x 5 unidades X 250g</v>
      </c>
      <c r="E85" s="24" t="n">
        <v>3</v>
      </c>
      <c r="F85" s="17" t="n">
        <f aca="false">SALIDAS[[#This Row],[Cantidad ]]*0.25</f>
        <v>0.75</v>
      </c>
    </row>
    <row r="86" customFormat="false" ht="15.75" hidden="false" customHeight="false" outlineLevel="0" collapsed="false">
      <c r="A86" s="24" t="s">
        <v>158</v>
      </c>
      <c r="B86" s="23" t="n">
        <v>44056</v>
      </c>
      <c r="C86" s="7" t="s">
        <v>28</v>
      </c>
      <c r="D86" s="24" t="str">
        <f aca="false">VLOOKUP(SALIDAS[[Código Producto ]],PRODUCTOS[],2,0)</f>
        <v>Chorizo Oxford x 4 unidades 400g</v>
      </c>
      <c r="E86" s="24" t="n">
        <v>3</v>
      </c>
      <c r="F86" s="17" t="n">
        <f aca="false">SALIDAS[[#This Row],[Cantidad ]]*0.4</f>
        <v>1.2</v>
      </c>
    </row>
    <row r="87" customFormat="false" ht="15.75" hidden="false" customHeight="false" outlineLevel="0" collapsed="false">
      <c r="A87" s="24" t="s">
        <v>158</v>
      </c>
      <c r="B87" s="23" t="n">
        <v>44056</v>
      </c>
      <c r="C87" s="7" t="s">
        <v>8</v>
      </c>
      <c r="D87" s="24" t="str">
        <f aca="false">VLOOKUP(SALIDAS[[Código Producto ]],PRODUCTOS[],2,0)</f>
        <v>Bratwurst x 4 unidades 320g </v>
      </c>
      <c r="E87" s="24" t="n">
        <v>3</v>
      </c>
      <c r="F87" s="17" t="n">
        <f aca="false">SALIDAS[[#This Row],[Cantidad ]]*0.32</f>
        <v>0.96</v>
      </c>
    </row>
    <row r="88" customFormat="false" ht="15.75" hidden="false" customHeight="false" outlineLevel="0" collapsed="false">
      <c r="A88" s="24" t="s">
        <v>158</v>
      </c>
      <c r="B88" s="23" t="n">
        <v>44056</v>
      </c>
      <c r="C88" s="7" t="s">
        <v>41</v>
      </c>
      <c r="D88" s="24" t="str">
        <f aca="false">VLOOKUP(SALIDAS[[Código Producto ]],PRODUCTOS[],2,0)</f>
        <v>Frankfurter cocktail x 10 unidades x 250g</v>
      </c>
      <c r="E88" s="24" t="n">
        <v>3</v>
      </c>
      <c r="F88" s="17" t="n">
        <f aca="false">SALIDAS[[#This Row],[Cantidad ]]*0.25</f>
        <v>0.75</v>
      </c>
    </row>
    <row r="89" customFormat="false" ht="15.75" hidden="false" customHeight="false" outlineLevel="0" collapsed="false">
      <c r="A89" s="24" t="s">
        <v>158</v>
      </c>
      <c r="B89" s="23" t="n">
        <v>44056</v>
      </c>
      <c r="C89" s="7" t="s">
        <v>20</v>
      </c>
      <c r="D89" s="24" t="str">
        <f aca="false">VLOOKUP(SALIDAS[[Código Producto ]],PRODUCTOS[],2,0)</f>
        <v>Chorizo finas hierbas x 4 unidades 400g</v>
      </c>
      <c r="E89" s="24" t="n">
        <v>3</v>
      </c>
      <c r="F89" s="17" t="n">
        <f aca="false">SALIDAS[[#This Row],[Cantidad ]]*0.4</f>
        <v>1.2</v>
      </c>
    </row>
    <row r="90" customFormat="false" ht="15.75" hidden="false" customHeight="false" outlineLevel="0" collapsed="false">
      <c r="A90" s="24" t="s">
        <v>158</v>
      </c>
      <c r="B90" s="23" t="n">
        <v>44056</v>
      </c>
      <c r="C90" s="7" t="s">
        <v>14</v>
      </c>
      <c r="D90" s="24" t="str">
        <f aca="false">VLOOKUP(SALIDAS[[Código Producto ]],PRODUCTOS[],2,0)</f>
        <v>Chistorra Huachana x 6 unidades 150g</v>
      </c>
      <c r="E90" s="24" t="n">
        <v>3</v>
      </c>
      <c r="F90" s="17" t="n">
        <f aca="false">SALIDAS[[#This Row],[Cantidad ]]*0.15</f>
        <v>0.45</v>
      </c>
    </row>
    <row r="91" customFormat="false" ht="15.75" hidden="false" customHeight="false" outlineLevel="0" collapsed="false">
      <c r="A91" s="24" t="s">
        <v>175</v>
      </c>
      <c r="B91" s="23" t="n">
        <v>44056</v>
      </c>
      <c r="C91" s="7" t="s">
        <v>28</v>
      </c>
      <c r="D91" s="24" t="str">
        <f aca="false">VLOOKUP(SALIDAS[[Código Producto ]],PRODUCTOS[],2,0)</f>
        <v>Chorizo Oxford x 4 unidades 400g</v>
      </c>
      <c r="E91" s="24" t="n">
        <v>2</v>
      </c>
      <c r="F91" s="17" t="n">
        <f aca="false">SALIDAS[[#This Row],[Cantidad ]]*0.4</f>
        <v>0.8</v>
      </c>
    </row>
    <row r="92" customFormat="false" ht="15.75" hidden="false" customHeight="false" outlineLevel="0" collapsed="false">
      <c r="A92" s="24" t="s">
        <v>175</v>
      </c>
      <c r="B92" s="23" t="n">
        <v>44056</v>
      </c>
      <c r="C92" s="11" t="s">
        <v>125</v>
      </c>
      <c r="D92" s="24" t="str">
        <f aca="false">VLOOKUP(SALIDAS[[Código Producto ]],PRODUCTOS[],2,0)</f>
        <v>Vienesa x 5 unidades X 250g</v>
      </c>
      <c r="E92" s="24" t="n">
        <v>2</v>
      </c>
      <c r="F92" s="17" t="n">
        <f aca="false">SALIDAS[[#This Row],[Cantidad ]]*0.25</f>
        <v>0.5</v>
      </c>
    </row>
    <row r="93" customFormat="false" ht="15.75" hidden="false" customHeight="false" outlineLevel="0" collapsed="false">
      <c r="A93" s="24" t="s">
        <v>175</v>
      </c>
      <c r="B93" s="23" t="n">
        <v>44056</v>
      </c>
      <c r="C93" s="7" t="s">
        <v>8</v>
      </c>
      <c r="D93" s="24" t="str">
        <f aca="false">VLOOKUP(SALIDAS[[Código Producto ]],PRODUCTOS[],2,0)</f>
        <v>Bratwurst x 4 unidades 320g </v>
      </c>
      <c r="E93" s="24" t="n">
        <v>2</v>
      </c>
      <c r="F93" s="17" t="n">
        <f aca="false">SALIDAS[[#This Row],[Cantidad ]]*0.32</f>
        <v>0.64</v>
      </c>
    </row>
    <row r="94" customFormat="false" ht="15.75" hidden="false" customHeight="false" outlineLevel="0" collapsed="false">
      <c r="A94" s="24" t="s">
        <v>175</v>
      </c>
      <c r="B94" s="23" t="n">
        <v>44056</v>
      </c>
      <c r="C94" s="7" t="s">
        <v>41</v>
      </c>
      <c r="D94" s="24" t="str">
        <f aca="false">VLOOKUP(SALIDAS[[Código Producto ]],PRODUCTOS[],2,0)</f>
        <v>Frankfurter cocktail x 10 unidades x 250g</v>
      </c>
      <c r="E94" s="24" t="n">
        <v>2</v>
      </c>
      <c r="F94" s="17" t="n">
        <f aca="false">SALIDAS[[#This Row],[Cantidad ]]*0.25</f>
        <v>0.5</v>
      </c>
    </row>
    <row r="95" customFormat="false" ht="15.75" hidden="false" customHeight="false" outlineLevel="0" collapsed="false">
      <c r="A95" s="24" t="s">
        <v>175</v>
      </c>
      <c r="B95" s="23" t="n">
        <v>44056</v>
      </c>
      <c r="C95" s="7" t="s">
        <v>14</v>
      </c>
      <c r="D95" s="24" t="str">
        <f aca="false">VLOOKUP(SALIDAS[[Código Producto ]],PRODUCTOS[],2,0)</f>
        <v>Chistorra Huachana x 6 unidades 150g</v>
      </c>
      <c r="E95" s="24" t="n">
        <v>2</v>
      </c>
      <c r="F95" s="17" t="n">
        <f aca="false">SALIDAS[[#This Row],[Cantidad ]]*0.15</f>
        <v>0.3</v>
      </c>
    </row>
    <row r="96" customFormat="false" ht="15.75" hidden="false" customHeight="false" outlineLevel="0" collapsed="false">
      <c r="A96" s="24" t="s">
        <v>175</v>
      </c>
      <c r="B96" s="23" t="n">
        <v>44056</v>
      </c>
      <c r="C96" s="7" t="s">
        <v>20</v>
      </c>
      <c r="D96" s="24" t="str">
        <f aca="false">VLOOKUP(SALIDAS[[Código Producto ]],PRODUCTOS[],2,0)</f>
        <v>Chorizo finas hierbas x 4 unidades 400g</v>
      </c>
      <c r="E96" s="24" t="n">
        <v>2</v>
      </c>
      <c r="F96" s="17" t="n">
        <f aca="false">SALIDAS[[#This Row],[Cantidad ]]*0.4</f>
        <v>0.8</v>
      </c>
    </row>
    <row r="97" customFormat="false" ht="15.75" hidden="false" customHeight="false" outlineLevel="0" collapsed="false">
      <c r="A97" s="24" t="s">
        <v>176</v>
      </c>
      <c r="B97" s="23" t="n">
        <v>44056</v>
      </c>
      <c r="C97" s="7" t="s">
        <v>28</v>
      </c>
      <c r="D97" s="24" t="str">
        <f aca="false">VLOOKUP(SALIDAS[[Código Producto ]],PRODUCTOS[],2,0)</f>
        <v>Chorizo Oxford x 4 unidades 400g</v>
      </c>
      <c r="E97" s="24" t="n">
        <v>2</v>
      </c>
      <c r="F97" s="17" t="n">
        <f aca="false">SALIDAS[[#This Row],[Cantidad ]]*0.4</f>
        <v>0.8</v>
      </c>
    </row>
    <row r="98" customFormat="false" ht="15.75" hidden="false" customHeight="false" outlineLevel="0" collapsed="false">
      <c r="A98" s="24" t="s">
        <v>176</v>
      </c>
      <c r="B98" s="23" t="n">
        <v>44056</v>
      </c>
      <c r="C98" s="11" t="s">
        <v>125</v>
      </c>
      <c r="D98" s="24" t="str">
        <f aca="false">VLOOKUP(SALIDAS[[Código Producto ]],PRODUCTOS[],2,0)</f>
        <v>Vienesa x 5 unidades X 250g</v>
      </c>
      <c r="E98" s="24" t="n">
        <v>2</v>
      </c>
      <c r="F98" s="17" t="n">
        <f aca="false">SALIDAS[[#This Row],[Cantidad ]]*0.25</f>
        <v>0.5</v>
      </c>
    </row>
    <row r="99" customFormat="false" ht="15.75" hidden="false" customHeight="false" outlineLevel="0" collapsed="false">
      <c r="A99" s="24" t="s">
        <v>176</v>
      </c>
      <c r="B99" s="23" t="n">
        <v>44056</v>
      </c>
      <c r="C99" s="7" t="s">
        <v>8</v>
      </c>
      <c r="D99" s="24" t="str">
        <f aca="false">VLOOKUP(SALIDAS[[Código Producto ]],PRODUCTOS[],2,0)</f>
        <v>Bratwurst x 4 unidades 320g </v>
      </c>
      <c r="E99" s="24" t="n">
        <v>2</v>
      </c>
      <c r="F99" s="17" t="n">
        <f aca="false">SALIDAS[[#This Row],[Cantidad ]]*0.32</f>
        <v>0.64</v>
      </c>
    </row>
    <row r="100" customFormat="false" ht="15.75" hidden="false" customHeight="false" outlineLevel="0" collapsed="false">
      <c r="A100" s="24" t="s">
        <v>176</v>
      </c>
      <c r="B100" s="23" t="n">
        <v>44056</v>
      </c>
      <c r="C100" s="7" t="s">
        <v>41</v>
      </c>
      <c r="D100" s="24" t="str">
        <f aca="false">VLOOKUP(SALIDAS[[Código Producto ]],PRODUCTOS[],2,0)</f>
        <v>Frankfurter cocktail x 10 unidades x 250g</v>
      </c>
      <c r="E100" s="24" t="n">
        <v>2</v>
      </c>
      <c r="F100" s="17" t="n">
        <f aca="false">SALIDAS[[#This Row],[Cantidad ]]*0.25</f>
        <v>0.5</v>
      </c>
    </row>
    <row r="101" customFormat="false" ht="15.75" hidden="false" customHeight="false" outlineLevel="0" collapsed="false">
      <c r="A101" s="24" t="s">
        <v>176</v>
      </c>
      <c r="B101" s="23" t="n">
        <v>44056</v>
      </c>
      <c r="C101" s="7" t="s">
        <v>14</v>
      </c>
      <c r="D101" s="24" t="str">
        <f aca="false">VLOOKUP(SALIDAS[[Código Producto ]],PRODUCTOS[],2,0)</f>
        <v>Chistorra Huachana x 6 unidades 150g</v>
      </c>
      <c r="E101" s="24" t="n">
        <v>2</v>
      </c>
      <c r="F101" s="17" t="n">
        <f aca="false">SALIDAS[[#This Row],[Cantidad ]]*0.15</f>
        <v>0.3</v>
      </c>
    </row>
    <row r="102" customFormat="false" ht="15.75" hidden="false" customHeight="false" outlineLevel="0" collapsed="false">
      <c r="A102" s="24" t="s">
        <v>156</v>
      </c>
      <c r="B102" s="23" t="n">
        <v>44056</v>
      </c>
      <c r="C102" s="11" t="s">
        <v>47</v>
      </c>
      <c r="D102" s="24" t="str">
        <f aca="false">VLOOKUP(SALIDAS[[Código Producto ]],PRODUCTOS[],2,0)</f>
        <v>Frankfurter granel x 4 unidades 250g</v>
      </c>
      <c r="E102" s="24" t="n">
        <v>10</v>
      </c>
      <c r="F102" s="17" t="n">
        <f aca="false">SALIDAS[[#This Row],[Cantidad ]]*0.24</f>
        <v>2.4</v>
      </c>
    </row>
    <row r="103" s="17" customFormat="true" ht="15.75" hidden="false" customHeight="false" outlineLevel="0" collapsed="false">
      <c r="A103" s="24" t="s">
        <v>156</v>
      </c>
      <c r="B103" s="23" t="n">
        <v>44056</v>
      </c>
      <c r="C103" s="7" t="s">
        <v>41</v>
      </c>
      <c r="D103" s="24" t="str">
        <f aca="false">VLOOKUP(SALIDAS[[Código Producto ]],PRODUCTOS[],2,0)</f>
        <v>Frankfurter cocktail x 10 unidades x 250g</v>
      </c>
      <c r="E103" s="24" t="n">
        <v>5</v>
      </c>
      <c r="F103" s="17" t="n">
        <f aca="false">SALIDAS[[#This Row],[Cantidad ]]*0.25</f>
        <v>1.25</v>
      </c>
    </row>
    <row r="104" customFormat="false" ht="15.75" hidden="false" customHeight="false" outlineLevel="0" collapsed="false">
      <c r="A104" s="24" t="s">
        <v>156</v>
      </c>
      <c r="B104" s="23" t="n">
        <v>44056</v>
      </c>
      <c r="C104" s="7" t="s">
        <v>26</v>
      </c>
      <c r="D104" s="24" t="str">
        <f aca="false">VLOOKUP(SALIDAS[[Código Producto ]],PRODUCTOS[],2,0)</f>
        <v>Chorizo Oxford x 10 unidades 250g</v>
      </c>
      <c r="E104" s="24" t="n">
        <v>5</v>
      </c>
      <c r="F104" s="17" t="n">
        <f aca="false">SALIDAS[[#This Row],[Cantidad ]]*0.25</f>
        <v>1.25</v>
      </c>
    </row>
    <row r="105" customFormat="false" ht="15.75" hidden="false" customHeight="false" outlineLevel="0" collapsed="false">
      <c r="A105" s="24" t="s">
        <v>156</v>
      </c>
      <c r="B105" s="23" t="n">
        <v>44056</v>
      </c>
      <c r="C105" s="7" t="s">
        <v>18</v>
      </c>
      <c r="D105" s="24" t="str">
        <f aca="false">VLOOKUP(SALIDAS[[Código Producto ]],PRODUCTOS[],2,0)</f>
        <v>Chorizo finas hierbas x 10 unidades 250g</v>
      </c>
      <c r="E105" s="24" t="n">
        <v>5</v>
      </c>
      <c r="F105" s="17" t="n">
        <f aca="false">SALIDAS[[#This Row],[Cantidad ]]*0.25</f>
        <v>1.25</v>
      </c>
    </row>
    <row r="106" customFormat="false" ht="15.75" hidden="false" customHeight="false" outlineLevel="0" collapsed="false">
      <c r="A106" s="24" t="s">
        <v>157</v>
      </c>
      <c r="B106" s="23" t="n">
        <v>44056</v>
      </c>
      <c r="C106" s="7" t="s">
        <v>14</v>
      </c>
      <c r="D106" s="24" t="str">
        <f aca="false">VLOOKUP(SALIDAS[[Código Producto ]],PRODUCTOS[],2,0)</f>
        <v>Chistorra Huachana x 6 unidades 150g</v>
      </c>
      <c r="E106" s="24" t="n">
        <v>4</v>
      </c>
      <c r="F106" s="17" t="n">
        <f aca="false">SALIDAS[[#This Row],[Cantidad ]]*0.15</f>
        <v>0.6</v>
      </c>
    </row>
    <row r="107" customFormat="false" ht="15.75" hidden="false" customHeight="false" outlineLevel="0" collapsed="false">
      <c r="A107" s="24" t="s">
        <v>157</v>
      </c>
      <c r="B107" s="23" t="n">
        <v>44056</v>
      </c>
      <c r="C107" s="7" t="s">
        <v>8</v>
      </c>
      <c r="D107" s="24" t="str">
        <f aca="false">VLOOKUP(SALIDAS[[Código Producto ]],PRODUCTOS[],2,0)</f>
        <v>Bratwurst x 4 unidades 320g </v>
      </c>
      <c r="E107" s="24" t="n">
        <v>2</v>
      </c>
      <c r="F107" s="17" t="n">
        <f aca="false">SALIDAS[[#This Row],[Cantidad ]]*0.32</f>
        <v>0.64</v>
      </c>
    </row>
    <row r="108" customFormat="false" ht="15.75" hidden="false" customHeight="false" outlineLevel="0" collapsed="false">
      <c r="A108" s="24" t="s">
        <v>157</v>
      </c>
      <c r="B108" s="23" t="n">
        <v>44056</v>
      </c>
      <c r="C108" s="7" t="s">
        <v>20</v>
      </c>
      <c r="D108" s="24" t="str">
        <f aca="false">VLOOKUP(SALIDAS[[Código Producto ]],PRODUCTOS[],2,0)</f>
        <v>Chorizo finas hierbas x 4 unidades 400g</v>
      </c>
      <c r="E108" s="24" t="n">
        <v>4</v>
      </c>
      <c r="F108" s="17" t="n">
        <f aca="false">SALIDAS[[#This Row],[Cantidad ]]*0.4</f>
        <v>1.6</v>
      </c>
    </row>
    <row r="109" customFormat="false" ht="15.75" hidden="false" customHeight="false" outlineLevel="0" collapsed="false">
      <c r="A109" s="24" t="s">
        <v>177</v>
      </c>
      <c r="B109" s="23" t="n">
        <v>44056</v>
      </c>
      <c r="C109" s="7" t="s">
        <v>14</v>
      </c>
      <c r="D109" s="24" t="str">
        <f aca="false">VLOOKUP(SALIDAS[[Código Producto ]],PRODUCTOS[],2,0)</f>
        <v>Chistorra Huachana x 6 unidades 150g</v>
      </c>
      <c r="E109" s="24" t="n">
        <v>4</v>
      </c>
      <c r="F109" s="17" t="n">
        <f aca="false">SALIDAS[[#This Row],[Cantidad ]]*0.15</f>
        <v>0.6</v>
      </c>
    </row>
    <row r="110" customFormat="false" ht="15.75" hidden="false" customHeight="false" outlineLevel="0" collapsed="false">
      <c r="A110" s="24" t="s">
        <v>177</v>
      </c>
      <c r="B110" s="23" t="n">
        <v>44056</v>
      </c>
      <c r="C110" s="7" t="s">
        <v>22</v>
      </c>
      <c r="D110" s="24" t="str">
        <f aca="false">VLOOKUP(SALIDAS[[Código Producto ]],PRODUCTOS[],2,0)</f>
        <v>Chorizo finas hierbas x 6 unidades 600g</v>
      </c>
      <c r="E110" s="24" t="n">
        <v>2</v>
      </c>
      <c r="F110" s="17" t="n">
        <f aca="false">SALIDAS[[#This Row],[Cantidad ]]*0.6</f>
        <v>1.2</v>
      </c>
    </row>
    <row r="111" customFormat="false" ht="15.75" hidden="false" customHeight="false" outlineLevel="0" collapsed="false">
      <c r="A111" s="24" t="s">
        <v>177</v>
      </c>
      <c r="B111" s="23" t="n">
        <v>44056</v>
      </c>
      <c r="C111" s="11" t="s">
        <v>47</v>
      </c>
      <c r="D111" s="24" t="str">
        <f aca="false">VLOOKUP(SALIDAS[[Código Producto ]],PRODUCTOS[],2,0)</f>
        <v>Frankfurter granel x 4 unidades 250g</v>
      </c>
      <c r="E111" s="24" t="n">
        <v>2</v>
      </c>
      <c r="F111" s="17" t="n">
        <f aca="false">SALIDAS[[#This Row],[Cantidad ]]*0.24</f>
        <v>0.48</v>
      </c>
    </row>
    <row r="112" customFormat="false" ht="15.75" hidden="false" customHeight="false" outlineLevel="0" collapsed="false">
      <c r="A112" s="24" t="s">
        <v>177</v>
      </c>
      <c r="B112" s="23" t="n">
        <v>44056</v>
      </c>
      <c r="C112" s="11" t="s">
        <v>34</v>
      </c>
      <c r="D112" s="24" t="str">
        <f aca="false">VLOOKUP(SALIDAS[[Código Producto ]],PRODUCTOS[],2,0)</f>
        <v>Chorizo Sweet Spicy 600g</v>
      </c>
      <c r="E112" s="24" t="n">
        <v>2</v>
      </c>
      <c r="F112" s="17" t="n">
        <f aca="false">SALIDAS[[#This Row],[Cantidad ]]*0.6</f>
        <v>1.2</v>
      </c>
    </row>
    <row r="113" customFormat="false" ht="15.75" hidden="false" customHeight="false" outlineLevel="0" collapsed="false">
      <c r="A113" s="24" t="s">
        <v>178</v>
      </c>
      <c r="B113" s="23" t="n">
        <v>44056</v>
      </c>
      <c r="C113" s="11" t="s">
        <v>47</v>
      </c>
      <c r="D113" s="24" t="str">
        <f aca="false">VLOOKUP(SALIDAS[[Código Producto ]],PRODUCTOS[],2,0)</f>
        <v>Frankfurter granel x 4 unidades 250g</v>
      </c>
      <c r="E113" s="24" t="n">
        <v>1</v>
      </c>
      <c r="F113" s="17" t="n">
        <f aca="false">SALIDAS[[#This Row],[Cantidad ]]*0.24</f>
        <v>0.24</v>
      </c>
    </row>
    <row r="114" customFormat="false" ht="15.75" hidden="false" customHeight="false" outlineLevel="0" collapsed="false">
      <c r="A114" s="24" t="s">
        <v>178</v>
      </c>
      <c r="B114" s="23" t="n">
        <v>44056</v>
      </c>
      <c r="C114" s="7" t="s">
        <v>8</v>
      </c>
      <c r="D114" s="24" t="str">
        <f aca="false">VLOOKUP(SALIDAS[[Código Producto ]],PRODUCTOS[],2,0)</f>
        <v>Bratwurst x 4 unidades 320g </v>
      </c>
      <c r="E114" s="24" t="n">
        <v>1</v>
      </c>
      <c r="F114" s="17" t="n">
        <f aca="false">SALIDAS[[#This Row],[Cantidad ]]*0.32</f>
        <v>0.32</v>
      </c>
    </row>
    <row r="115" customFormat="false" ht="15.75" hidden="false" customHeight="false" outlineLevel="0" collapsed="false">
      <c r="A115" s="24" t="s">
        <v>178</v>
      </c>
      <c r="B115" s="23" t="n">
        <v>44056</v>
      </c>
      <c r="C115" s="11" t="s">
        <v>97</v>
      </c>
      <c r="D115" s="24" t="str">
        <f aca="false">VLOOKUP(SALIDAS[[Código Producto ]],PRODUCTOS[],2,0)</f>
        <v>Morcilla Granel x3</v>
      </c>
      <c r="E115" s="24" t="n">
        <v>1</v>
      </c>
      <c r="F115" s="17" t="n">
        <f aca="false">SALIDAS[[#This Row],[Cantidad ]]*0.25</f>
        <v>0.25</v>
      </c>
    </row>
    <row r="116" s="17" customFormat="true" ht="15.75" hidden="false" customHeight="false" outlineLevel="0" collapsed="false">
      <c r="A116" s="24" t="s">
        <v>179</v>
      </c>
      <c r="B116" s="23" t="n">
        <v>44056</v>
      </c>
      <c r="C116" s="7" t="s">
        <v>8</v>
      </c>
      <c r="D116" s="24" t="str">
        <f aca="false">VLOOKUP(SALIDAS[[Código Producto ]],PRODUCTOS[],2,0)</f>
        <v>Bratwurst x 4 unidades 320g </v>
      </c>
      <c r="E116" s="24" t="n">
        <v>1</v>
      </c>
      <c r="F116" s="17" t="n">
        <f aca="false">SALIDAS[[#This Row],[Cantidad ]]*0.32</f>
        <v>0.32</v>
      </c>
    </row>
    <row r="117" s="17" customFormat="true" ht="15.75" hidden="false" customHeight="false" outlineLevel="0" collapsed="false">
      <c r="A117" s="24" t="s">
        <v>179</v>
      </c>
      <c r="B117" s="23" t="n">
        <v>44056</v>
      </c>
      <c r="C117" s="11" t="s">
        <v>83</v>
      </c>
      <c r="D117" s="24" t="str">
        <f aca="false">VLOOKUP(SALIDAS[[Código Producto ]],PRODUCTOS[],2,0)</f>
        <v>Jamon Pizza x 500g</v>
      </c>
      <c r="E117" s="24" t="n">
        <v>1</v>
      </c>
      <c r="F117" s="17" t="n">
        <f aca="false">SALIDAS[[#This Row],[Cantidad ]]*0.5</f>
        <v>0.5</v>
      </c>
    </row>
    <row r="118" s="17" customFormat="true" ht="15.75" hidden="false" customHeight="false" outlineLevel="0" collapsed="false">
      <c r="A118" s="24" t="s">
        <v>179</v>
      </c>
      <c r="B118" s="23" t="n">
        <v>44056</v>
      </c>
      <c r="C118" s="7" t="s">
        <v>28</v>
      </c>
      <c r="D118" s="24" t="str">
        <f aca="false">VLOOKUP(SALIDAS[[Código Producto ]],PRODUCTOS[],2,0)</f>
        <v>Chorizo Oxford x 4 unidades 400g</v>
      </c>
      <c r="E118" s="24" t="n">
        <v>1</v>
      </c>
      <c r="F118" s="17" t="n">
        <f aca="false">SALIDAS[[#This Row],[Cantidad ]]*0.4</f>
        <v>0.4</v>
      </c>
    </row>
    <row r="119" customFormat="false" ht="15.75" hidden="false" customHeight="false" outlineLevel="0" collapsed="false">
      <c r="A119" s="24" t="s">
        <v>179</v>
      </c>
      <c r="B119" s="23" t="n">
        <v>44056</v>
      </c>
      <c r="C119" s="7" t="s">
        <v>14</v>
      </c>
      <c r="D119" s="24" t="str">
        <f aca="false">VLOOKUP(SALIDAS[[Código Producto ]],PRODUCTOS[],2,0)</f>
        <v>Chistorra Huachana x 6 unidades 150g</v>
      </c>
      <c r="E119" s="24" t="n">
        <v>1</v>
      </c>
      <c r="F119" s="17" t="n">
        <f aca="false">SALIDAS[[#This Row],[Cantidad ]]*0.15</f>
        <v>0.15</v>
      </c>
    </row>
    <row r="120" customFormat="false" ht="15.75" hidden="false" customHeight="false" outlineLevel="0" collapsed="false">
      <c r="A120" s="24" t="s">
        <v>179</v>
      </c>
      <c r="B120" s="23" t="n">
        <v>44056</v>
      </c>
      <c r="C120" s="11" t="s">
        <v>34</v>
      </c>
      <c r="D120" s="24" t="str">
        <f aca="false">VLOOKUP(SALIDAS[[Código Producto ]],PRODUCTOS[],2,0)</f>
        <v>Chorizo Sweet Spicy 600g</v>
      </c>
      <c r="E120" s="24" t="n">
        <v>1</v>
      </c>
      <c r="F120" s="17" t="n">
        <f aca="false">SALIDAS[[#This Row],[Cantidad ]]*0.6</f>
        <v>0.6</v>
      </c>
    </row>
    <row r="121" customFormat="false" ht="15.75" hidden="false" customHeight="false" outlineLevel="0" collapsed="false">
      <c r="A121" s="24" t="s">
        <v>179</v>
      </c>
      <c r="B121" s="23" t="n">
        <v>44056</v>
      </c>
      <c r="C121" s="11" t="s">
        <v>95</v>
      </c>
      <c r="D121" s="24" t="str">
        <f aca="false">VLOOKUP(SALIDAS[[Código Producto ]],PRODUCTOS[],2,0)</f>
        <v>Morcilla Cocktail x10</v>
      </c>
      <c r="E121" s="24" t="n">
        <v>1</v>
      </c>
      <c r="F121" s="17" t="n">
        <f aca="false">SALIDAS[[#This Row],[Cantidad ]]*0.25</f>
        <v>0.25</v>
      </c>
    </row>
    <row r="122" customFormat="false" ht="15.75" hidden="false" customHeight="false" outlineLevel="0" collapsed="false">
      <c r="A122" s="24" t="s">
        <v>179</v>
      </c>
      <c r="B122" s="23" t="n">
        <v>44056</v>
      </c>
      <c r="C122" s="7" t="s">
        <v>20</v>
      </c>
      <c r="D122" s="24" t="str">
        <f aca="false">VLOOKUP(SALIDAS[[Código Producto ]],PRODUCTOS[],2,0)</f>
        <v>Chorizo finas hierbas x 4 unidades 400g</v>
      </c>
      <c r="E122" s="24" t="n">
        <v>1</v>
      </c>
      <c r="F122" s="17" t="n">
        <f aca="false">SALIDAS[[#This Row],[Cantidad ]]*0.4</f>
        <v>0.4</v>
      </c>
    </row>
    <row r="123" customFormat="false" ht="15.75" hidden="false" customHeight="false" outlineLevel="0" collapsed="false">
      <c r="A123" s="24" t="s">
        <v>179</v>
      </c>
      <c r="B123" s="23" t="n">
        <v>44056</v>
      </c>
      <c r="C123" s="11" t="s">
        <v>47</v>
      </c>
      <c r="D123" s="24" t="str">
        <f aca="false">VLOOKUP(SALIDAS[[Código Producto ]],PRODUCTOS[],2,0)</f>
        <v>Frankfurter granel x 4 unidades 250g</v>
      </c>
      <c r="E123" s="24" t="n">
        <v>1</v>
      </c>
      <c r="F123" s="17" t="n">
        <f aca="false">SALIDAS[[#This Row],[Cantidad ]]*0.24</f>
        <v>0.24</v>
      </c>
    </row>
    <row r="124" customFormat="false" ht="15.75" hidden="false" customHeight="false" outlineLevel="0" collapsed="false">
      <c r="A124" s="24" t="s">
        <v>179</v>
      </c>
      <c r="B124" s="23" t="n">
        <v>44056</v>
      </c>
      <c r="C124" s="11" t="s">
        <v>125</v>
      </c>
      <c r="D124" s="24" t="str">
        <f aca="false">VLOOKUP(SALIDAS[[Código Producto ]],PRODUCTOS[],2,0)</f>
        <v>Vienesa x 5 unidades X 250g</v>
      </c>
      <c r="E124" s="24" t="n">
        <v>1</v>
      </c>
      <c r="F124" s="17" t="n">
        <f aca="false">SALIDAS[[#This Row],[Cantidad ]]*0.25</f>
        <v>0.25</v>
      </c>
    </row>
    <row r="125" customFormat="false" ht="15.75" hidden="false" customHeight="false" outlineLevel="0" collapsed="false">
      <c r="A125" s="24" t="s">
        <v>167</v>
      </c>
      <c r="B125" s="23" t="n">
        <v>44056</v>
      </c>
      <c r="C125" s="7" t="s">
        <v>14</v>
      </c>
      <c r="D125" s="24" t="str">
        <f aca="false">VLOOKUP(SALIDAS[[Código Producto ]],PRODUCTOS[],2,0)</f>
        <v>Chistorra Huachana x 6 unidades 150g</v>
      </c>
      <c r="E125" s="24" t="n">
        <v>5</v>
      </c>
      <c r="F125" s="17" t="n">
        <f aca="false">SALIDAS[[#This Row],[Cantidad ]]*0.15</f>
        <v>0.75</v>
      </c>
    </row>
    <row r="126" customFormat="false" ht="15.75" hidden="false" customHeight="false" outlineLevel="0" collapsed="false">
      <c r="A126" s="24" t="s">
        <v>167</v>
      </c>
      <c r="B126" s="23" t="n">
        <v>44056</v>
      </c>
      <c r="C126" s="7" t="s">
        <v>10</v>
      </c>
      <c r="D126" s="24" t="str">
        <f aca="false">VLOOKUP(SALIDAS[[Código Producto ]],PRODUCTOS[],2,0)</f>
        <v>Chanchito al natural Franz doner kebab Lemon Pork 250g</v>
      </c>
      <c r="E126" s="24" t="n">
        <v>1</v>
      </c>
      <c r="F126" s="17" t="n">
        <f aca="false">SALIDAS[[#This Row],[Cantidad ]]*0.25</f>
        <v>0.25</v>
      </c>
    </row>
    <row r="127" customFormat="false" ht="15.75" hidden="false" customHeight="false" outlineLevel="0" collapsed="false">
      <c r="A127" s="24" t="s">
        <v>167</v>
      </c>
      <c r="B127" s="23" t="n">
        <v>44056</v>
      </c>
      <c r="C127" s="7" t="s">
        <v>12</v>
      </c>
      <c r="D127" s="24" t="str">
        <f aca="false">VLOOKUP(SALIDAS[[Código Producto ]],PRODUCTOS[],2,0)</f>
        <v>Chanchito al natural Franz doner kebab Pork 250g</v>
      </c>
      <c r="E127" s="24" t="n">
        <v>1</v>
      </c>
      <c r="F127" s="17" t="n">
        <f aca="false">SALIDAS[[#This Row],[Cantidad ]]*0.25</f>
        <v>0.25</v>
      </c>
    </row>
    <row r="128" customFormat="false" ht="15.75" hidden="false" customHeight="false" outlineLevel="0" collapsed="false">
      <c r="A128" s="24" t="s">
        <v>167</v>
      </c>
      <c r="B128" s="23" t="n">
        <v>44056</v>
      </c>
      <c r="C128" s="7" t="s">
        <v>99</v>
      </c>
      <c r="D128" s="24" t="str">
        <f aca="false">VLOOKUP(SALIDAS[[Código Producto ]],PRODUCTOS[],2,0)</f>
        <v>Pomarola Turka </v>
      </c>
      <c r="E128" s="24" t="n">
        <v>1</v>
      </c>
      <c r="F128" s="17" t="n">
        <f aca="false">SALIDAS[[#This Row],[Cantidad ]]*0.15</f>
        <v>0.15</v>
      </c>
    </row>
    <row r="129" customFormat="false" ht="15.75" hidden="false" customHeight="false" outlineLevel="0" collapsed="false">
      <c r="A129" s="24" t="s">
        <v>167</v>
      </c>
      <c r="B129" s="23" t="n">
        <v>44056</v>
      </c>
      <c r="C129" s="7" t="s">
        <v>53</v>
      </c>
      <c r="D129" s="24" t="str">
        <f aca="false">VLOOKUP(SALIDAS[[Código Producto ]],PRODUCTOS[],2,0)</f>
        <v>Greek Mayonnaise</v>
      </c>
      <c r="E129" s="24" t="n">
        <v>1</v>
      </c>
      <c r="F129" s="17" t="n">
        <f aca="false">SALIDAS[[#This Row],[Cantidad ]]*0.15</f>
        <v>0.15</v>
      </c>
    </row>
    <row r="130" customFormat="false" ht="15.75" hidden="false" customHeight="false" outlineLevel="0" collapsed="false">
      <c r="A130" s="24" t="s">
        <v>167</v>
      </c>
      <c r="B130" s="23" t="n">
        <v>44056</v>
      </c>
      <c r="C130" s="7" t="s">
        <v>41</v>
      </c>
      <c r="D130" s="24" t="str">
        <f aca="false">VLOOKUP(SALIDAS[[Código Producto ]],PRODUCTOS[],2,0)</f>
        <v>Frankfurter cocktail x 10 unidades x 250g</v>
      </c>
      <c r="E130" s="24" t="n">
        <v>5</v>
      </c>
      <c r="F130" s="17" t="n">
        <f aca="false">SALIDAS[[#This Row],[Cantidad ]]*0.25</f>
        <v>1.25</v>
      </c>
    </row>
    <row r="131" customFormat="false" ht="15.75" hidden="false" customHeight="false" outlineLevel="0" collapsed="false">
      <c r="A131" s="24" t="s">
        <v>157</v>
      </c>
      <c r="B131" s="23" t="n">
        <v>44057</v>
      </c>
      <c r="C131" s="7" t="s">
        <v>14</v>
      </c>
      <c r="D131" s="24" t="str">
        <f aca="false">VLOOKUP(SALIDAS[[Código Producto ]],PRODUCTOS[],2,0)</f>
        <v>Chistorra Huachana x 6 unidades 150g</v>
      </c>
      <c r="E131" s="24" t="n">
        <v>4</v>
      </c>
      <c r="F131" s="17" t="n">
        <f aca="false">SALIDAS[[#This Row],[Cantidad ]]*0.15</f>
        <v>0.6</v>
      </c>
    </row>
    <row r="132" customFormat="false" ht="15.75" hidden="false" customHeight="false" outlineLevel="0" collapsed="false">
      <c r="A132" s="24" t="s">
        <v>157</v>
      </c>
      <c r="B132" s="23" t="n">
        <v>44057</v>
      </c>
      <c r="C132" s="11" t="s">
        <v>47</v>
      </c>
      <c r="D132" s="24" t="str">
        <f aca="false">VLOOKUP(SALIDAS[[Código Producto ]],PRODUCTOS[],2,0)</f>
        <v>Frankfurter granel x 4 unidades 250g</v>
      </c>
      <c r="E132" s="24" t="n">
        <v>2</v>
      </c>
      <c r="F132" s="17" t="n">
        <f aca="false">SALIDAS[[#This Row],[Cantidad ]]*0.24</f>
        <v>0.48</v>
      </c>
    </row>
    <row r="133" customFormat="false" ht="15.75" hidden="false" customHeight="false" outlineLevel="0" collapsed="false">
      <c r="A133" s="24" t="s">
        <v>174</v>
      </c>
      <c r="B133" s="23" t="n">
        <v>44057</v>
      </c>
      <c r="C133" s="7" t="s">
        <v>28</v>
      </c>
      <c r="D133" s="24" t="str">
        <f aca="false">VLOOKUP(SALIDAS[[Código Producto ]],PRODUCTOS[],2,0)</f>
        <v>Chorizo Oxford x 4 unidades 400g</v>
      </c>
      <c r="E133" s="24" t="n">
        <v>5</v>
      </c>
      <c r="F133" s="17" t="n">
        <f aca="false">SALIDAS[[#This Row],[Cantidad ]]*0.4</f>
        <v>2</v>
      </c>
    </row>
    <row r="134" customFormat="false" ht="15.75" hidden="false" customHeight="false" outlineLevel="0" collapsed="false">
      <c r="A134" s="24" t="s">
        <v>174</v>
      </c>
      <c r="B134" s="23" t="n">
        <v>44057</v>
      </c>
      <c r="C134" s="11" t="s">
        <v>97</v>
      </c>
      <c r="D134" s="24" t="str">
        <f aca="false">VLOOKUP(SALIDAS[[Código Producto ]],PRODUCTOS[],2,0)</f>
        <v>Morcilla Granel x3</v>
      </c>
      <c r="E134" s="24" t="n">
        <v>4</v>
      </c>
      <c r="F134" s="17" t="n">
        <f aca="false">SALIDAS[[#This Row],[Cantidad ]]*0.25</f>
        <v>1</v>
      </c>
    </row>
    <row r="135" customFormat="false" ht="15.75" hidden="false" customHeight="false" outlineLevel="0" collapsed="false">
      <c r="A135" s="24" t="s">
        <v>174</v>
      </c>
      <c r="B135" s="23" t="n">
        <v>44057</v>
      </c>
      <c r="C135" s="11" t="s">
        <v>32</v>
      </c>
      <c r="D135" s="24" t="str">
        <f aca="false">VLOOKUP(SALIDAS[[Código Producto ]],PRODUCTOS[],2,0)</f>
        <v>Chorizo Sweet Spicy 400g</v>
      </c>
      <c r="E135" s="24" t="n">
        <v>4</v>
      </c>
      <c r="F135" s="17" t="n">
        <f aca="false">SALIDAS[[#This Row],[Cantidad ]]*0.4</f>
        <v>1.6</v>
      </c>
    </row>
    <row r="136" customFormat="false" ht="15.75" hidden="false" customHeight="false" outlineLevel="0" collapsed="false">
      <c r="A136" s="24" t="s">
        <v>180</v>
      </c>
      <c r="B136" s="23" t="n">
        <v>44057</v>
      </c>
      <c r="C136" s="7" t="s">
        <v>28</v>
      </c>
      <c r="D136" s="24" t="str">
        <f aca="false">VLOOKUP(SALIDAS[[Código Producto ]],PRODUCTOS[],2,0)</f>
        <v>Chorizo Oxford x 4 unidades 400g</v>
      </c>
      <c r="E136" s="24" t="n">
        <v>4</v>
      </c>
      <c r="F136" s="17" t="n">
        <f aca="false">SALIDAS[[#This Row],[Cantidad ]]*0.4</f>
        <v>1.6</v>
      </c>
    </row>
    <row r="137" customFormat="false" ht="15.75" hidden="false" customHeight="false" outlineLevel="0" collapsed="false">
      <c r="A137" s="24" t="s">
        <v>180</v>
      </c>
      <c r="B137" s="23" t="n">
        <v>44057</v>
      </c>
      <c r="C137" s="7" t="s">
        <v>30</v>
      </c>
      <c r="D137" s="24" t="str">
        <f aca="false">VLOOKUP(SALIDAS[[Código Producto ]],PRODUCTOS[],2,0)</f>
        <v>Chorizo Oxford x 6 unidades 600g</v>
      </c>
      <c r="E137" s="24" t="n">
        <v>2</v>
      </c>
      <c r="F137" s="17" t="n">
        <f aca="false">SALIDAS[[#This Row],[Cantidad ]]*0.6</f>
        <v>1.2</v>
      </c>
    </row>
    <row r="138" customFormat="false" ht="15.75" hidden="false" customHeight="false" outlineLevel="0" collapsed="false">
      <c r="A138" s="24" t="s">
        <v>180</v>
      </c>
      <c r="B138" s="23" t="n">
        <v>44057</v>
      </c>
      <c r="C138" s="7" t="s">
        <v>22</v>
      </c>
      <c r="D138" s="24" t="str">
        <f aca="false">VLOOKUP(SALIDAS[[Código Producto ]],PRODUCTOS[],2,0)</f>
        <v>Chorizo finas hierbas x 6 unidades 600g</v>
      </c>
      <c r="E138" s="24" t="n">
        <v>2</v>
      </c>
      <c r="F138" s="17" t="n">
        <f aca="false">SALIDAS[[#This Row],[Cantidad ]]*0.6</f>
        <v>1.2</v>
      </c>
    </row>
    <row r="139" customFormat="false" ht="15.75" hidden="false" customHeight="false" outlineLevel="0" collapsed="false">
      <c r="A139" s="24" t="s">
        <v>180</v>
      </c>
      <c r="B139" s="23" t="n">
        <v>44057</v>
      </c>
      <c r="C139" s="11" t="s">
        <v>125</v>
      </c>
      <c r="D139" s="24" t="str">
        <f aca="false">VLOOKUP(SALIDAS[[Código Producto ]],PRODUCTOS[],2,0)</f>
        <v>Vienesa x 5 unidades X 250g</v>
      </c>
      <c r="E139" s="24" t="n">
        <v>4</v>
      </c>
      <c r="F139" s="17" t="n">
        <f aca="false">SALIDAS[[#This Row],[Cantidad ]]*0.25</f>
        <v>1</v>
      </c>
    </row>
    <row r="140" customFormat="false" ht="15.75" hidden="false" customHeight="false" outlineLevel="0" collapsed="false">
      <c r="A140" s="24" t="s">
        <v>181</v>
      </c>
      <c r="B140" s="23" t="n">
        <v>44057</v>
      </c>
      <c r="C140" s="7" t="s">
        <v>22</v>
      </c>
      <c r="D140" s="24" t="str">
        <f aca="false">VLOOKUP(SALIDAS[[Código Producto ]],PRODUCTOS[],2,0)</f>
        <v>Chorizo finas hierbas x 6 unidades 600g</v>
      </c>
      <c r="E140" s="24" t="n">
        <v>12</v>
      </c>
      <c r="F140" s="17" t="n">
        <f aca="false">SALIDAS[[#This Row],[Cantidad ]]*0.6</f>
        <v>7.2</v>
      </c>
    </row>
    <row r="141" customFormat="false" ht="15.75" hidden="false" customHeight="false" outlineLevel="0" collapsed="false">
      <c r="A141" s="24" t="s">
        <v>181</v>
      </c>
      <c r="B141" s="23" t="n">
        <v>44057</v>
      </c>
      <c r="C141" s="7" t="s">
        <v>30</v>
      </c>
      <c r="D141" s="24" t="str">
        <f aca="false">VLOOKUP(SALIDAS[[Código Producto ]],PRODUCTOS[],2,0)</f>
        <v>Chorizo Oxford x 6 unidades 600g</v>
      </c>
      <c r="E141" s="24" t="n">
        <v>12</v>
      </c>
      <c r="F141" s="17" t="n">
        <f aca="false">SALIDAS[[#This Row],[Cantidad ]]*0.6</f>
        <v>7.2</v>
      </c>
    </row>
    <row r="142" customFormat="false" ht="15.75" hidden="false" customHeight="false" outlineLevel="0" collapsed="false">
      <c r="A142" s="24" t="s">
        <v>181</v>
      </c>
      <c r="B142" s="23" t="n">
        <v>44057</v>
      </c>
      <c r="C142" s="11" t="s">
        <v>47</v>
      </c>
      <c r="D142" s="24" t="str">
        <f aca="false">VLOOKUP(SALIDAS[[Código Producto ]],PRODUCTOS[],2,0)</f>
        <v>Frankfurter granel x 4 unidades 250g</v>
      </c>
      <c r="E142" s="24" t="n">
        <v>12</v>
      </c>
      <c r="F142" s="17" t="n">
        <f aca="false">SALIDAS[[#This Row],[Cantidad ]]*0.24</f>
        <v>2.88</v>
      </c>
    </row>
    <row r="143" customFormat="false" ht="15.75" hidden="false" customHeight="false" outlineLevel="0" collapsed="false">
      <c r="A143" s="24" t="s">
        <v>156</v>
      </c>
      <c r="B143" s="23" t="n">
        <v>44060</v>
      </c>
      <c r="C143" s="7" t="s">
        <v>69</v>
      </c>
      <c r="D143" s="24" t="str">
        <f aca="false">VLOOKUP(SALIDAS[[Código Producto ]],PRODUCTOS[],2,0)</f>
        <v>Jamon del país artesanal 250g</v>
      </c>
      <c r="E143" s="24" t="n">
        <v>5</v>
      </c>
      <c r="F143" s="17" t="n">
        <f aca="false">SALIDAS[[#This Row],[Cantidad ]]*0.25</f>
        <v>1.25</v>
      </c>
    </row>
    <row r="144" customFormat="false" ht="15.75" hidden="false" customHeight="false" outlineLevel="0" collapsed="false">
      <c r="A144" s="24" t="s">
        <v>156</v>
      </c>
      <c r="B144" s="23" t="n">
        <v>44060</v>
      </c>
      <c r="C144" s="11" t="s">
        <v>117</v>
      </c>
      <c r="D144" s="24" t="str">
        <f aca="false">VLOOKUP(SALIDAS[[Código Producto ]],PRODUCTOS[],2,0)</f>
        <v>Tocino Ahumado Redondo  x 200g (ROJO)</v>
      </c>
      <c r="E144" s="24" t="n">
        <v>20</v>
      </c>
      <c r="F144" s="17" t="n">
        <f aca="false">SALIDAS[[#This Row],[Cantidad ]]*0.2</f>
        <v>4</v>
      </c>
    </row>
    <row r="145" customFormat="false" ht="15.75" hidden="false" customHeight="false" outlineLevel="0" collapsed="false">
      <c r="A145" s="24" t="s">
        <v>156</v>
      </c>
      <c r="B145" s="23" t="n">
        <v>44060</v>
      </c>
      <c r="C145" s="7" t="s">
        <v>28</v>
      </c>
      <c r="D145" s="24" t="str">
        <f aca="false">VLOOKUP(SALIDAS[[Código Producto ]],PRODUCTOS[],2,0)</f>
        <v>Chorizo Oxford x 4 unidades 400g</v>
      </c>
      <c r="E145" s="24" t="n">
        <v>3</v>
      </c>
      <c r="F145" s="17" t="n">
        <f aca="false">SALIDAS[[#This Row],[Cantidad ]]*0.4</f>
        <v>1.2</v>
      </c>
    </row>
    <row r="146" customFormat="false" ht="15.75" hidden="false" customHeight="false" outlineLevel="0" collapsed="false">
      <c r="A146" s="24" t="s">
        <v>156</v>
      </c>
      <c r="B146" s="23" t="n">
        <v>44060</v>
      </c>
      <c r="C146" s="7" t="s">
        <v>30</v>
      </c>
      <c r="D146" s="24" t="str">
        <f aca="false">VLOOKUP(SALIDAS[[Código Producto ]],PRODUCTOS[],2,0)</f>
        <v>Chorizo Oxford x 6 unidades 600g</v>
      </c>
      <c r="E146" s="24" t="n">
        <v>3</v>
      </c>
      <c r="F146" s="17" t="n">
        <f aca="false">SALIDAS[[#This Row],[Cantidad ]]*0.6</f>
        <v>1.8</v>
      </c>
    </row>
    <row r="147" customFormat="false" ht="15.75" hidden="false" customHeight="false" outlineLevel="0" collapsed="false">
      <c r="A147" s="24" t="s">
        <v>156</v>
      </c>
      <c r="B147" s="23" t="n">
        <v>44060</v>
      </c>
      <c r="C147" s="7" t="s">
        <v>20</v>
      </c>
      <c r="D147" s="24" t="str">
        <f aca="false">VLOOKUP(SALIDAS[[Código Producto ]],PRODUCTOS[],2,0)</f>
        <v>Chorizo finas hierbas x 4 unidades 400g</v>
      </c>
      <c r="E147" s="24" t="n">
        <v>5</v>
      </c>
      <c r="F147" s="17" t="n">
        <f aca="false">SALIDAS[[#This Row],[Cantidad ]]*0.4</f>
        <v>2</v>
      </c>
    </row>
    <row r="148" customFormat="false" ht="15.75" hidden="false" customHeight="false" outlineLevel="0" collapsed="false">
      <c r="A148" s="24" t="s">
        <v>156</v>
      </c>
      <c r="B148" s="23" t="n">
        <v>44060</v>
      </c>
      <c r="C148" s="7" t="s">
        <v>22</v>
      </c>
      <c r="D148" s="24" t="str">
        <f aca="false">VLOOKUP(SALIDAS[[Código Producto ]],PRODUCTOS[],2,0)</f>
        <v>Chorizo finas hierbas x 6 unidades 600g</v>
      </c>
      <c r="E148" s="24" t="n">
        <v>5</v>
      </c>
      <c r="F148" s="17" t="n">
        <f aca="false">SALIDAS[[#This Row],[Cantidad ]]*0.6</f>
        <v>3</v>
      </c>
    </row>
    <row r="149" customFormat="false" ht="15.75" hidden="false" customHeight="false" outlineLevel="0" collapsed="false">
      <c r="A149" s="24" t="s">
        <v>156</v>
      </c>
      <c r="B149" s="23" t="n">
        <v>44060</v>
      </c>
      <c r="C149" s="7" t="s">
        <v>93</v>
      </c>
      <c r="D149" s="24" t="str">
        <f aca="false">VLOOKUP(SALIDAS[[Código Producto ]],PRODUCTOS[],2,0)</f>
        <v>Longaniza Huachana x 350g</v>
      </c>
      <c r="E149" s="24" t="n">
        <v>5</v>
      </c>
      <c r="F149" s="17" t="n">
        <f aca="false">SALIDAS[[#This Row],[Cantidad ]]*0.35</f>
        <v>1.75</v>
      </c>
    </row>
    <row r="150" customFormat="false" ht="15.75" hidden="false" customHeight="false" outlineLevel="0" collapsed="false">
      <c r="A150" s="24" t="s">
        <v>156</v>
      </c>
      <c r="B150" s="23" t="n">
        <v>44060</v>
      </c>
      <c r="C150" s="7" t="s">
        <v>14</v>
      </c>
      <c r="D150" s="24" t="str">
        <f aca="false">VLOOKUP(SALIDAS[[Código Producto ]],PRODUCTOS[],2,0)</f>
        <v>Chistorra Huachana x 6 unidades 150g</v>
      </c>
      <c r="E150" s="24" t="n">
        <v>5</v>
      </c>
      <c r="F150" s="17" t="n">
        <f aca="false">SALIDAS[[#This Row],[Cantidad ]]*0.15</f>
        <v>0.75</v>
      </c>
    </row>
    <row r="151" customFormat="false" ht="15.75" hidden="false" customHeight="false" outlineLevel="0" collapsed="false">
      <c r="A151" s="24" t="s">
        <v>156</v>
      </c>
      <c r="B151" s="23" t="n">
        <v>44060</v>
      </c>
      <c r="C151" s="11" t="s">
        <v>125</v>
      </c>
      <c r="D151" s="24" t="str">
        <f aca="false">VLOOKUP(SALIDAS[[Código Producto ]],PRODUCTOS[],2,0)</f>
        <v>Vienesa x 5 unidades X 250g</v>
      </c>
      <c r="E151" s="24" t="n">
        <v>10</v>
      </c>
      <c r="F151" s="17" t="n">
        <f aca="false">SALIDAS[[#This Row],[Cantidad ]]*0.25</f>
        <v>2.5</v>
      </c>
    </row>
    <row r="152" customFormat="false" ht="15.75" hidden="false" customHeight="false" outlineLevel="0" collapsed="false">
      <c r="A152" s="24" t="s">
        <v>156</v>
      </c>
      <c r="B152" s="23" t="n">
        <v>44060</v>
      </c>
      <c r="C152" s="11" t="s">
        <v>83</v>
      </c>
      <c r="D152" s="24" t="str">
        <f aca="false">VLOOKUP(SALIDAS[[Código Producto ]],PRODUCTOS[],2,0)</f>
        <v>Jamon Pizza x 500g</v>
      </c>
      <c r="E152" s="24" t="n">
        <v>5</v>
      </c>
      <c r="F152" s="17" t="n">
        <f aca="false">SALIDAS[[#This Row],[Cantidad ]]*0.5</f>
        <v>2.5</v>
      </c>
    </row>
    <row r="153" customFormat="false" ht="15.75" hidden="false" customHeight="false" outlineLevel="0" collapsed="false">
      <c r="A153" s="24" t="s">
        <v>156</v>
      </c>
      <c r="B153" s="23" t="n">
        <v>44060</v>
      </c>
      <c r="C153" s="7" t="s">
        <v>18</v>
      </c>
      <c r="D153" s="24" t="str">
        <f aca="false">VLOOKUP(SALIDAS[[Código Producto ]],PRODUCTOS[],2,0)</f>
        <v>Chorizo finas hierbas x 10 unidades 250g</v>
      </c>
      <c r="E153" s="24" t="n">
        <v>5</v>
      </c>
      <c r="F153" s="17" t="n">
        <f aca="false">SALIDAS[[#This Row],[Cantidad ]]*0.25</f>
        <v>1.25</v>
      </c>
    </row>
    <row r="154" customFormat="false" ht="15.75" hidden="false" customHeight="false" outlineLevel="0" collapsed="false">
      <c r="A154" s="24" t="s">
        <v>156</v>
      </c>
      <c r="B154" s="23" t="n">
        <v>44060</v>
      </c>
      <c r="C154" s="11" t="s">
        <v>95</v>
      </c>
      <c r="D154" s="24" t="str">
        <f aca="false">VLOOKUP(SALIDAS[[Código Producto ]],PRODUCTOS[],2,0)</f>
        <v>Morcilla Cocktail x10</v>
      </c>
      <c r="E154" s="24" t="n">
        <v>10</v>
      </c>
      <c r="F154" s="17" t="n">
        <f aca="false">SALIDAS[[#This Row],[Cantidad ]]*0.25</f>
        <v>2.5</v>
      </c>
    </row>
    <row r="155" customFormat="false" ht="15.75" hidden="false" customHeight="false" outlineLevel="0" collapsed="false">
      <c r="A155" s="24" t="s">
        <v>182</v>
      </c>
      <c r="B155" s="23" t="n">
        <v>44061</v>
      </c>
      <c r="C155" s="11" t="s">
        <v>47</v>
      </c>
      <c r="D155" s="24" t="str">
        <f aca="false">VLOOKUP(SALIDAS[[Código Producto ]],PRODUCTOS[],2,0)</f>
        <v>Frankfurter granel x 4 unidades 250g</v>
      </c>
      <c r="E155" s="24" t="n">
        <v>13</v>
      </c>
      <c r="F155" s="17" t="n">
        <f aca="false">SALIDAS[[#This Row],[Cantidad ]]*0.24</f>
        <v>3.12</v>
      </c>
    </row>
    <row r="156" customFormat="false" ht="15.75" hidden="false" customHeight="false" outlineLevel="0" collapsed="false">
      <c r="A156" s="24" t="s">
        <v>182</v>
      </c>
      <c r="B156" s="23" t="n">
        <v>44061</v>
      </c>
      <c r="C156" s="7" t="s">
        <v>41</v>
      </c>
      <c r="D156" s="24" t="str">
        <f aca="false">VLOOKUP(SALIDAS[[Código Producto ]],PRODUCTOS[],2,0)</f>
        <v>Frankfurter cocktail x 10 unidades x 250g</v>
      </c>
      <c r="E156" s="24" t="n">
        <v>2</v>
      </c>
      <c r="F156" s="17" t="n">
        <f aca="false">SALIDAS[[#This Row],[Cantidad ]]*0.25</f>
        <v>0.5</v>
      </c>
    </row>
    <row r="157" customFormat="false" ht="15.75" hidden="false" customHeight="false" outlineLevel="0" collapsed="false">
      <c r="A157" s="24" t="s">
        <v>182</v>
      </c>
      <c r="B157" s="23" t="n">
        <v>44061</v>
      </c>
      <c r="C157" s="7" t="s">
        <v>20</v>
      </c>
      <c r="D157" s="24" t="str">
        <f aca="false">VLOOKUP(SALIDAS[[Código Producto ]],PRODUCTOS[],2,0)</f>
        <v>Chorizo finas hierbas x 4 unidades 400g</v>
      </c>
      <c r="E157" s="24" t="n">
        <v>1</v>
      </c>
      <c r="F157" s="17" t="n">
        <f aca="false">SALIDAS[[#This Row],[Cantidad ]]*0.4</f>
        <v>0.4</v>
      </c>
    </row>
    <row r="158" customFormat="false" ht="15.75" hidden="true" customHeight="false" outlineLevel="0" collapsed="false">
      <c r="A158" s="24" t="s">
        <v>183</v>
      </c>
      <c r="B158" s="23" t="n">
        <v>44061</v>
      </c>
      <c r="C158" s="7" t="s">
        <v>28</v>
      </c>
      <c r="D158" s="24" t="str">
        <f aca="false">VLOOKUP(SALIDAS[[Código Producto ]],PRODUCTOS[],2,0)</f>
        <v>Chorizo Oxford x 4 unidades 400g</v>
      </c>
      <c r="E158" s="24" t="n">
        <v>1</v>
      </c>
      <c r="F158" s="17" t="n">
        <f aca="false">SALIDAS[[#This Row],[Cantidad ]]*0.4</f>
        <v>0.4</v>
      </c>
    </row>
    <row r="159" customFormat="false" ht="15.75" hidden="true" customHeight="false" outlineLevel="0" collapsed="false">
      <c r="A159" s="24" t="s">
        <v>183</v>
      </c>
      <c r="B159" s="23" t="n">
        <v>44061</v>
      </c>
      <c r="C159" s="7" t="s">
        <v>26</v>
      </c>
      <c r="D159" s="24" t="str">
        <f aca="false">VLOOKUP(SALIDAS[[Código Producto ]],PRODUCTOS[],2,0)</f>
        <v>Chorizo Oxford x 10 unidades 250g</v>
      </c>
      <c r="E159" s="24" t="n">
        <v>1</v>
      </c>
      <c r="F159" s="17" t="n">
        <f aca="false">SALIDAS[[#This Row],[Cantidad ]]*0.25</f>
        <v>0.25</v>
      </c>
    </row>
    <row r="160" customFormat="false" ht="15.75" hidden="true" customHeight="false" outlineLevel="0" collapsed="false">
      <c r="A160" s="24" t="s">
        <v>183</v>
      </c>
      <c r="B160" s="23" t="n">
        <v>44061</v>
      </c>
      <c r="C160" s="7" t="s">
        <v>20</v>
      </c>
      <c r="D160" s="24" t="str">
        <f aca="false">VLOOKUP(SALIDAS[[Código Producto ]],PRODUCTOS[],2,0)</f>
        <v>Chorizo finas hierbas x 4 unidades 400g</v>
      </c>
      <c r="E160" s="24" t="n">
        <v>1</v>
      </c>
      <c r="F160" s="17" t="n">
        <f aca="false">SALIDAS[[#This Row],[Cantidad ]]*0.4</f>
        <v>0.4</v>
      </c>
    </row>
    <row r="161" customFormat="false" ht="15.75" hidden="true" customHeight="false" outlineLevel="0" collapsed="false">
      <c r="A161" s="24" t="s">
        <v>183</v>
      </c>
      <c r="B161" s="23" t="n">
        <v>44061</v>
      </c>
      <c r="C161" s="7" t="s">
        <v>18</v>
      </c>
      <c r="D161" s="24" t="str">
        <f aca="false">VLOOKUP(SALIDAS[[Código Producto ]],PRODUCTOS[],2,0)</f>
        <v>Chorizo finas hierbas x 10 unidades 250g</v>
      </c>
      <c r="E161" s="24" t="n">
        <v>1</v>
      </c>
      <c r="F161" s="17" t="n">
        <f aca="false">SALIDAS[[#This Row],[Cantidad ]]*0.25</f>
        <v>0.25</v>
      </c>
    </row>
    <row r="162" customFormat="false" ht="15.75" hidden="true" customHeight="false" outlineLevel="0" collapsed="false">
      <c r="A162" s="24" t="s">
        <v>183</v>
      </c>
      <c r="B162" s="23" t="n">
        <v>44061</v>
      </c>
      <c r="C162" s="7" t="s">
        <v>41</v>
      </c>
      <c r="D162" s="24" t="str">
        <f aca="false">VLOOKUP(SALIDAS[[Código Producto ]],PRODUCTOS[],2,0)</f>
        <v>Frankfurter cocktail x 10 unidades x 250g</v>
      </c>
      <c r="E162" s="24" t="n">
        <v>1</v>
      </c>
      <c r="F162" s="17" t="n">
        <f aca="false">SALIDAS[[#This Row],[Cantidad ]]*0.25</f>
        <v>0.25</v>
      </c>
    </row>
    <row r="163" customFormat="false" ht="15.75" hidden="true" customHeight="false" outlineLevel="0" collapsed="false">
      <c r="A163" s="24" t="s">
        <v>183</v>
      </c>
      <c r="B163" s="23" t="n">
        <v>44061</v>
      </c>
      <c r="C163" s="11" t="s">
        <v>47</v>
      </c>
      <c r="D163" s="24" t="str">
        <f aca="false">VLOOKUP(SALIDAS[[Código Producto ]],PRODUCTOS[],2,0)</f>
        <v>Frankfurter granel x 4 unidades 250g</v>
      </c>
      <c r="E163" s="24" t="n">
        <v>1</v>
      </c>
      <c r="F163" s="17" t="n">
        <f aca="false">SALIDAS[[#This Row],[Cantidad ]]*0.24</f>
        <v>0.24</v>
      </c>
    </row>
    <row r="164" customFormat="false" ht="15.75" hidden="true" customHeight="false" outlineLevel="0" collapsed="false">
      <c r="A164" s="24" t="s">
        <v>183</v>
      </c>
      <c r="B164" s="23" t="n">
        <v>44061</v>
      </c>
      <c r="C164" s="7" t="s">
        <v>49</v>
      </c>
      <c r="D164" s="24" t="str">
        <f aca="false">VLOOKUP(SALIDAS[[Código Producto ]],PRODUCTOS[],2,0)</f>
        <v>Frankfurter municipal x 3 unidades </v>
      </c>
      <c r="E164" s="24" t="n">
        <v>1</v>
      </c>
      <c r="F164" s="17" t="n">
        <f aca="false">SALIDAS[[#This Row],[Cantidad ]]*0.45</f>
        <v>0.45</v>
      </c>
    </row>
    <row r="165" customFormat="false" ht="15.75" hidden="true" customHeight="false" outlineLevel="0" collapsed="false">
      <c r="A165" s="24" t="s">
        <v>183</v>
      </c>
      <c r="B165" s="23" t="n">
        <v>44061</v>
      </c>
      <c r="C165" s="7" t="s">
        <v>8</v>
      </c>
      <c r="D165" s="24" t="str">
        <f aca="false">VLOOKUP(SALIDAS[[Código Producto ]],PRODUCTOS[],2,0)</f>
        <v>Bratwurst x 4 unidades 320g </v>
      </c>
      <c r="E165" s="24" t="n">
        <v>1</v>
      </c>
      <c r="F165" s="17" t="n">
        <f aca="false">SALIDAS[[#This Row],[Cantidad ]]*0.32</f>
        <v>0.32</v>
      </c>
    </row>
    <row r="166" customFormat="false" ht="15.75" hidden="true" customHeight="false" outlineLevel="0" collapsed="false">
      <c r="A166" s="24" t="s">
        <v>183</v>
      </c>
      <c r="B166" s="23" t="n">
        <v>44061</v>
      </c>
      <c r="C166" s="7" t="s">
        <v>14</v>
      </c>
      <c r="D166" s="24" t="str">
        <f aca="false">VLOOKUP(SALIDAS[[Código Producto ]],PRODUCTOS[],2,0)</f>
        <v>Chistorra Huachana x 6 unidades 150g</v>
      </c>
      <c r="E166" s="24" t="n">
        <v>1</v>
      </c>
      <c r="F166" s="17" t="n">
        <f aca="false">SALIDAS[[#This Row],[Cantidad ]]*0.15</f>
        <v>0.15</v>
      </c>
    </row>
    <row r="167" customFormat="false" ht="15.75" hidden="true" customHeight="false" outlineLevel="0" collapsed="false">
      <c r="A167" s="24" t="s">
        <v>183</v>
      </c>
      <c r="B167" s="23" t="n">
        <v>44061</v>
      </c>
      <c r="C167" s="7" t="s">
        <v>77</v>
      </c>
      <c r="D167" s="24" t="str">
        <f aca="false">VLOOKUP(SALIDAS[[Código Producto ]],PRODUCTOS[],2,0)</f>
        <v>Jamon Ingles x 300g </v>
      </c>
      <c r="E167" s="24" t="n">
        <v>1</v>
      </c>
      <c r="F167" s="17" t="n">
        <f aca="false">SALIDAS[[#This Row],[Cantidad ]]*0.3</f>
        <v>0.3</v>
      </c>
    </row>
    <row r="168" customFormat="false" ht="15.75" hidden="true" customHeight="false" outlineLevel="0" collapsed="false">
      <c r="A168" s="24" t="s">
        <v>183</v>
      </c>
      <c r="B168" s="23" t="n">
        <v>44061</v>
      </c>
      <c r="C168" s="7" t="s">
        <v>69</v>
      </c>
      <c r="D168" s="24" t="str">
        <f aca="false">VLOOKUP(SALIDAS[[Código Producto ]],PRODUCTOS[],2,0)</f>
        <v>Jamon del país artesanal 250g</v>
      </c>
      <c r="E168" s="24" t="n">
        <v>1</v>
      </c>
      <c r="F168" s="17" t="n">
        <f aca="false">SALIDAS[[#This Row],[Cantidad ]]*0.25</f>
        <v>0.25</v>
      </c>
    </row>
    <row r="169" customFormat="false" ht="15.75" hidden="true" customHeight="false" outlineLevel="0" collapsed="false">
      <c r="A169" s="24" t="s">
        <v>183</v>
      </c>
      <c r="B169" s="23" t="n">
        <v>44061</v>
      </c>
      <c r="C169" s="11" t="s">
        <v>111</v>
      </c>
      <c r="D169" s="24" t="str">
        <f aca="false">VLOOKUP(SALIDAS[[Código Producto ]],PRODUCTOS[],2,0)</f>
        <v>Tocino Ahumado Natural x250g</v>
      </c>
      <c r="E169" s="24" t="n">
        <v>1</v>
      </c>
      <c r="F169" s="17" t="n">
        <f aca="false">SALIDAS[[#This Row],[Cantidad ]]*0.25</f>
        <v>0.25</v>
      </c>
    </row>
    <row r="170" customFormat="false" ht="15.75" hidden="true" customHeight="false" outlineLevel="0" collapsed="false">
      <c r="A170" s="24" t="s">
        <v>183</v>
      </c>
      <c r="B170" s="23" t="n">
        <v>44061</v>
      </c>
      <c r="C170" s="11" t="s">
        <v>117</v>
      </c>
      <c r="D170" s="24" t="str">
        <f aca="false">VLOOKUP(SALIDAS[[Código Producto ]],PRODUCTOS[],2,0)</f>
        <v>Tocino Ahumado Redondo  x 200g (ROJO)</v>
      </c>
      <c r="E170" s="24" t="n">
        <v>1</v>
      </c>
      <c r="F170" s="17" t="n">
        <f aca="false">SALIDAS[[#This Row],[Cantidad ]]*0.2</f>
        <v>0.2</v>
      </c>
    </row>
    <row r="171" customFormat="false" ht="15.75" hidden="true" customHeight="false" outlineLevel="0" collapsed="false">
      <c r="A171" s="24" t="s">
        <v>183</v>
      </c>
      <c r="B171" s="23" t="n">
        <v>44061</v>
      </c>
      <c r="C171" s="11" t="s">
        <v>95</v>
      </c>
      <c r="D171" s="24" t="str">
        <f aca="false">VLOOKUP(SALIDAS[[Código Producto ]],PRODUCTOS[],2,0)</f>
        <v>Morcilla Cocktail x10</v>
      </c>
      <c r="E171" s="24" t="n">
        <v>1</v>
      </c>
      <c r="F171" s="17" t="n">
        <f aca="false">SALIDAS[[#This Row],[Cantidad ]]*0.25</f>
        <v>0.25</v>
      </c>
    </row>
    <row r="172" customFormat="false" ht="15.75" hidden="true" customHeight="false" outlineLevel="0" collapsed="false">
      <c r="A172" s="24" t="s">
        <v>183</v>
      </c>
      <c r="B172" s="23" t="n">
        <v>44061</v>
      </c>
      <c r="C172" s="11" t="s">
        <v>87</v>
      </c>
      <c r="D172" s="24" t="str">
        <f aca="false">VLOOKUP(SALIDAS[[Código Producto ]],PRODUCTOS[],2,0)</f>
        <v>Lomo ahumado x 250g</v>
      </c>
      <c r="E172" s="24" t="n">
        <v>1</v>
      </c>
      <c r="F172" s="17" t="n">
        <f aca="false">SALIDAS[[#This Row],[Cantidad ]]*0.25</f>
        <v>0.25</v>
      </c>
    </row>
    <row r="173" customFormat="false" ht="15.75" hidden="true" customHeight="false" outlineLevel="0" collapsed="false">
      <c r="A173" s="24" t="s">
        <v>183</v>
      </c>
      <c r="B173" s="23" t="n">
        <v>44061</v>
      </c>
      <c r="C173" s="7" t="s">
        <v>4</v>
      </c>
      <c r="D173" s="24" t="str">
        <f aca="false">VLOOKUP(SALIDAS[[Código Producto ]],PRODUCTOS[],2,0)</f>
        <v>Bondiola X 250G</v>
      </c>
      <c r="E173" s="24" t="n">
        <v>1</v>
      </c>
      <c r="F173" s="17" t="n">
        <f aca="false">SALIDAS[[#This Row],[Cantidad ]]*0.25</f>
        <v>0.25</v>
      </c>
    </row>
    <row r="174" customFormat="false" ht="15.75" hidden="true" customHeight="false" outlineLevel="0" collapsed="false">
      <c r="A174" s="24" t="s">
        <v>184</v>
      </c>
      <c r="B174" s="23" t="n">
        <v>44061</v>
      </c>
      <c r="C174" s="7" t="s">
        <v>28</v>
      </c>
      <c r="D174" s="24" t="str">
        <f aca="false">VLOOKUP(SALIDAS[[Código Producto ]],PRODUCTOS[],2,0)</f>
        <v>Chorizo Oxford x 4 unidades 400g</v>
      </c>
      <c r="E174" s="24" t="n">
        <v>1</v>
      </c>
      <c r="F174" s="17" t="n">
        <f aca="false">SALIDAS[[#This Row],[Cantidad ]]*0.4</f>
        <v>0.4</v>
      </c>
    </row>
    <row r="175" customFormat="false" ht="15.75" hidden="true" customHeight="false" outlineLevel="0" collapsed="false">
      <c r="A175" s="24" t="s">
        <v>184</v>
      </c>
      <c r="B175" s="23" t="n">
        <v>44061</v>
      </c>
      <c r="C175" s="7" t="s">
        <v>26</v>
      </c>
      <c r="D175" s="24" t="str">
        <f aca="false">VLOOKUP(SALIDAS[[Código Producto ]],PRODUCTOS[],2,0)</f>
        <v>Chorizo Oxford x 10 unidades 250g</v>
      </c>
      <c r="E175" s="24" t="n">
        <v>1</v>
      </c>
      <c r="F175" s="17" t="n">
        <f aca="false">SALIDAS[[#This Row],[Cantidad ]]*0.25</f>
        <v>0.25</v>
      </c>
    </row>
    <row r="176" customFormat="false" ht="15.75" hidden="true" customHeight="false" outlineLevel="0" collapsed="false">
      <c r="A176" s="24" t="s">
        <v>184</v>
      </c>
      <c r="B176" s="23" t="n">
        <v>44061</v>
      </c>
      <c r="C176" s="7" t="s">
        <v>20</v>
      </c>
      <c r="D176" s="24" t="str">
        <f aca="false">VLOOKUP(SALIDAS[[Código Producto ]],PRODUCTOS[],2,0)</f>
        <v>Chorizo finas hierbas x 4 unidades 400g</v>
      </c>
      <c r="E176" s="24" t="n">
        <v>1</v>
      </c>
      <c r="F176" s="17" t="n">
        <f aca="false">SALIDAS[[#This Row],[Cantidad ]]*0.4</f>
        <v>0.4</v>
      </c>
    </row>
    <row r="177" customFormat="false" ht="15.75" hidden="true" customHeight="false" outlineLevel="0" collapsed="false">
      <c r="A177" s="24" t="s">
        <v>184</v>
      </c>
      <c r="B177" s="23" t="n">
        <v>44061</v>
      </c>
      <c r="C177" s="7" t="s">
        <v>18</v>
      </c>
      <c r="D177" s="24" t="str">
        <f aca="false">VLOOKUP(SALIDAS[[Código Producto ]],PRODUCTOS[],2,0)</f>
        <v>Chorizo finas hierbas x 10 unidades 250g</v>
      </c>
      <c r="E177" s="24" t="n">
        <v>1</v>
      </c>
      <c r="F177" s="17" t="n">
        <f aca="false">SALIDAS[[#This Row],[Cantidad ]]*0.25</f>
        <v>0.25</v>
      </c>
    </row>
    <row r="178" customFormat="false" ht="15.75" hidden="true" customHeight="false" outlineLevel="0" collapsed="false">
      <c r="A178" s="24" t="s">
        <v>184</v>
      </c>
      <c r="B178" s="23" t="n">
        <v>44061</v>
      </c>
      <c r="C178" s="7" t="s">
        <v>41</v>
      </c>
      <c r="D178" s="24" t="str">
        <f aca="false">VLOOKUP(SALIDAS[[Código Producto ]],PRODUCTOS[],2,0)</f>
        <v>Frankfurter cocktail x 10 unidades x 250g</v>
      </c>
      <c r="E178" s="24" t="n">
        <v>1</v>
      </c>
      <c r="F178" s="17" t="n">
        <f aca="false">SALIDAS[[#This Row],[Cantidad ]]*0.25</f>
        <v>0.25</v>
      </c>
    </row>
    <row r="179" customFormat="false" ht="15.75" hidden="true" customHeight="false" outlineLevel="0" collapsed="false">
      <c r="A179" s="24" t="s">
        <v>184</v>
      </c>
      <c r="B179" s="23" t="n">
        <v>44061</v>
      </c>
      <c r="C179" s="11" t="s">
        <v>47</v>
      </c>
      <c r="D179" s="24" t="str">
        <f aca="false">VLOOKUP(SALIDAS[[Código Producto ]],PRODUCTOS[],2,0)</f>
        <v>Frankfurter granel x 4 unidades 250g</v>
      </c>
      <c r="E179" s="24" t="n">
        <v>1</v>
      </c>
      <c r="F179" s="17" t="n">
        <f aca="false">SALIDAS[[#This Row],[Cantidad ]]*0.24</f>
        <v>0.24</v>
      </c>
    </row>
    <row r="180" customFormat="false" ht="15.75" hidden="true" customHeight="false" outlineLevel="0" collapsed="false">
      <c r="A180" s="24" t="s">
        <v>184</v>
      </c>
      <c r="B180" s="23" t="n">
        <v>44061</v>
      </c>
      <c r="C180" s="7" t="s">
        <v>49</v>
      </c>
      <c r="D180" s="24" t="str">
        <f aca="false">VLOOKUP(SALIDAS[[Código Producto ]],PRODUCTOS[],2,0)</f>
        <v>Frankfurter municipal x 3 unidades </v>
      </c>
      <c r="E180" s="24" t="n">
        <v>1</v>
      </c>
      <c r="F180" s="17" t="n">
        <f aca="false">SALIDAS[[#This Row],[Cantidad ]]*0.45</f>
        <v>0.45</v>
      </c>
    </row>
    <row r="181" customFormat="false" ht="15.75" hidden="true" customHeight="false" outlineLevel="0" collapsed="false">
      <c r="A181" s="24" t="s">
        <v>184</v>
      </c>
      <c r="B181" s="23" t="n">
        <v>44061</v>
      </c>
      <c r="C181" s="7" t="s">
        <v>8</v>
      </c>
      <c r="D181" s="24" t="str">
        <f aca="false">VLOOKUP(SALIDAS[[Código Producto ]],PRODUCTOS[],2,0)</f>
        <v>Bratwurst x 4 unidades 320g </v>
      </c>
      <c r="E181" s="24" t="n">
        <v>1</v>
      </c>
      <c r="F181" s="17" t="n">
        <f aca="false">SALIDAS[[#This Row],[Cantidad ]]*0.32</f>
        <v>0.32</v>
      </c>
    </row>
    <row r="182" customFormat="false" ht="15.75" hidden="true" customHeight="false" outlineLevel="0" collapsed="false">
      <c r="A182" s="24" t="s">
        <v>184</v>
      </c>
      <c r="B182" s="23" t="n">
        <v>44061</v>
      </c>
      <c r="C182" s="7" t="s">
        <v>14</v>
      </c>
      <c r="D182" s="24" t="str">
        <f aca="false">VLOOKUP(SALIDAS[[Código Producto ]],PRODUCTOS[],2,0)</f>
        <v>Chistorra Huachana x 6 unidades 150g</v>
      </c>
      <c r="E182" s="24" t="n">
        <v>1</v>
      </c>
      <c r="F182" s="17" t="n">
        <f aca="false">SALIDAS[[#This Row],[Cantidad ]]*0.15</f>
        <v>0.15</v>
      </c>
    </row>
    <row r="183" customFormat="false" ht="15.75" hidden="true" customHeight="false" outlineLevel="0" collapsed="false">
      <c r="A183" s="24" t="s">
        <v>184</v>
      </c>
      <c r="B183" s="23" t="n">
        <v>44061</v>
      </c>
      <c r="C183" s="7" t="s">
        <v>77</v>
      </c>
      <c r="D183" s="24" t="str">
        <f aca="false">VLOOKUP(SALIDAS[[Código Producto ]],PRODUCTOS[],2,0)</f>
        <v>Jamon Ingles x 300g </v>
      </c>
      <c r="E183" s="24" t="n">
        <v>1</v>
      </c>
      <c r="F183" s="17" t="n">
        <f aca="false">SALIDAS[[#This Row],[Cantidad ]]*0.3</f>
        <v>0.3</v>
      </c>
    </row>
    <row r="184" customFormat="false" ht="15.75" hidden="true" customHeight="false" outlineLevel="0" collapsed="false">
      <c r="A184" s="24" t="s">
        <v>184</v>
      </c>
      <c r="B184" s="23" t="n">
        <v>44061</v>
      </c>
      <c r="C184" s="7" t="s">
        <v>69</v>
      </c>
      <c r="D184" s="24" t="str">
        <f aca="false">VLOOKUP(SALIDAS[[Código Producto ]],PRODUCTOS[],2,0)</f>
        <v>Jamon del país artesanal 250g</v>
      </c>
      <c r="E184" s="24" t="n">
        <v>1</v>
      </c>
      <c r="F184" s="17" t="n">
        <f aca="false">SALIDAS[[#This Row],[Cantidad ]]*0.25</f>
        <v>0.25</v>
      </c>
    </row>
    <row r="185" customFormat="false" ht="15.75" hidden="true" customHeight="false" outlineLevel="0" collapsed="false">
      <c r="A185" s="24" t="s">
        <v>184</v>
      </c>
      <c r="B185" s="23" t="n">
        <v>44061</v>
      </c>
      <c r="C185" s="11" t="s">
        <v>111</v>
      </c>
      <c r="D185" s="24" t="str">
        <f aca="false">VLOOKUP(SALIDAS[[Código Producto ]],PRODUCTOS[],2,0)</f>
        <v>Tocino Ahumado Natural x250g</v>
      </c>
      <c r="E185" s="24" t="n">
        <v>1</v>
      </c>
      <c r="F185" s="17" t="n">
        <f aca="false">SALIDAS[[#This Row],[Cantidad ]]*0.25</f>
        <v>0.25</v>
      </c>
    </row>
    <row r="186" customFormat="false" ht="15.75" hidden="true" customHeight="false" outlineLevel="0" collapsed="false">
      <c r="A186" s="24" t="s">
        <v>184</v>
      </c>
      <c r="B186" s="23" t="n">
        <v>44061</v>
      </c>
      <c r="C186" s="11" t="s">
        <v>117</v>
      </c>
      <c r="D186" s="24" t="str">
        <f aca="false">VLOOKUP(SALIDAS[[Código Producto ]],PRODUCTOS[],2,0)</f>
        <v>Tocino Ahumado Redondo  x 200g (ROJO)</v>
      </c>
      <c r="E186" s="24" t="n">
        <v>1</v>
      </c>
      <c r="F186" s="17" t="n">
        <f aca="false">SALIDAS[[#This Row],[Cantidad ]]*0.2</f>
        <v>0.2</v>
      </c>
    </row>
    <row r="187" customFormat="false" ht="15.75" hidden="true" customHeight="false" outlineLevel="0" collapsed="false">
      <c r="A187" s="24" t="s">
        <v>184</v>
      </c>
      <c r="B187" s="23" t="n">
        <v>44061</v>
      </c>
      <c r="C187" s="11" t="s">
        <v>95</v>
      </c>
      <c r="D187" s="24" t="str">
        <f aca="false">VLOOKUP(SALIDAS[[Código Producto ]],PRODUCTOS[],2,0)</f>
        <v>Morcilla Cocktail x10</v>
      </c>
      <c r="E187" s="24" t="n">
        <v>1</v>
      </c>
      <c r="F187" s="17" t="n">
        <f aca="false">SALIDAS[[#This Row],[Cantidad ]]*0.25</f>
        <v>0.25</v>
      </c>
    </row>
    <row r="188" customFormat="false" ht="15.75" hidden="true" customHeight="false" outlineLevel="0" collapsed="false">
      <c r="A188" s="24" t="s">
        <v>184</v>
      </c>
      <c r="B188" s="23" t="n">
        <v>44061</v>
      </c>
      <c r="C188" s="11" t="s">
        <v>87</v>
      </c>
      <c r="D188" s="24" t="str">
        <f aca="false">VLOOKUP(SALIDAS[[Código Producto ]],PRODUCTOS[],2,0)</f>
        <v>Lomo ahumado x 250g</v>
      </c>
      <c r="E188" s="24" t="n">
        <v>1</v>
      </c>
      <c r="F188" s="17" t="n">
        <f aca="false">SALIDAS[[#This Row],[Cantidad ]]*0.25</f>
        <v>0.25</v>
      </c>
    </row>
    <row r="189" customFormat="false" ht="15.75" hidden="true" customHeight="false" outlineLevel="0" collapsed="false">
      <c r="A189" s="24" t="s">
        <v>184</v>
      </c>
      <c r="B189" s="23" t="n">
        <v>44061</v>
      </c>
      <c r="C189" s="7" t="s">
        <v>4</v>
      </c>
      <c r="D189" s="24" t="str">
        <f aca="false">VLOOKUP(SALIDAS[[Código Producto ]],PRODUCTOS[],2,0)</f>
        <v>Bondiola X 250G</v>
      </c>
      <c r="E189" s="24" t="n">
        <v>1</v>
      </c>
      <c r="F189" s="17" t="n">
        <f aca="false">SALIDAS[[#This Row],[Cantidad ]]*0.25</f>
        <v>0.25</v>
      </c>
    </row>
    <row r="190" customFormat="false" ht="15.75" hidden="false" customHeight="false" outlineLevel="0" collapsed="false">
      <c r="A190" s="22" t="s">
        <v>185</v>
      </c>
      <c r="B190" s="23" t="n">
        <v>44061</v>
      </c>
      <c r="C190" s="11" t="s">
        <v>113</v>
      </c>
      <c r="D190" s="24" t="str">
        <f aca="false">VLOOKUP(SALIDAS[[Código Producto ]],PRODUCTOS[],2,0)</f>
        <v>Tocino Ahumado Natural x500g</v>
      </c>
      <c r="E190" s="24" t="n">
        <v>10</v>
      </c>
      <c r="F190" s="17" t="n">
        <f aca="false">SALIDAS[[#This Row],[Cantidad ]]*0.5</f>
        <v>5</v>
      </c>
    </row>
    <row r="191" customFormat="false" ht="15.75" hidden="false" customHeight="false" outlineLevel="0" collapsed="false">
      <c r="A191" s="24" t="s">
        <v>186</v>
      </c>
      <c r="B191" s="23" t="n">
        <v>44061</v>
      </c>
      <c r="C191" s="11" t="s">
        <v>115</v>
      </c>
      <c r="D191" s="24" t="str">
        <f aca="false">VLOOKUP(SALIDAS[[Código Producto ]],PRODUCTOS[],2,0)</f>
        <v>Tocino Ahumado Redondo  x 100g (ROJO)</v>
      </c>
      <c r="E191" s="24" t="n">
        <v>20</v>
      </c>
      <c r="F191" s="17" t="n">
        <f aca="false">SALIDAS[[#This Row],[Cantidad ]]*0.1</f>
        <v>2</v>
      </c>
    </row>
    <row r="192" customFormat="false" ht="15.75" hidden="false" customHeight="false" outlineLevel="0" collapsed="false">
      <c r="A192" s="24" t="s">
        <v>169</v>
      </c>
      <c r="B192" s="23" t="n">
        <v>44062</v>
      </c>
      <c r="C192" s="7" t="s">
        <v>73</v>
      </c>
      <c r="D192" s="24" t="str">
        <f aca="false">VLOOKUP(SALIDAS[[Código Producto ]],PRODUCTOS[],2,0)</f>
        <v>Jamon Ingles (Entero)</v>
      </c>
      <c r="E192" s="24" t="n">
        <v>4.875</v>
      </c>
      <c r="F192" s="17" t="n">
        <f aca="false">SALIDAS[[#This Row],[Cantidad ]]</f>
        <v>4.875</v>
      </c>
    </row>
    <row r="193" customFormat="false" ht="15.75" hidden="false" customHeight="false" outlineLevel="0" collapsed="false">
      <c r="A193" s="24" t="s">
        <v>169</v>
      </c>
      <c r="B193" s="23" t="n">
        <v>44062</v>
      </c>
      <c r="C193" s="11" t="s">
        <v>129</v>
      </c>
      <c r="D193" s="24" t="str">
        <f aca="false">VLOOKUP(SALIDAS[[Código Producto ]],PRODUCTOS[],2,0)</f>
        <v>Jamon tata entero</v>
      </c>
      <c r="E193" s="24" t="n">
        <v>2.95</v>
      </c>
      <c r="F193" s="17" t="n">
        <f aca="false">SALIDAS[[#This Row],[Cantidad ]]</f>
        <v>2.95</v>
      </c>
    </row>
    <row r="194" customFormat="false" ht="15.75" hidden="false" customHeight="false" outlineLevel="0" collapsed="false">
      <c r="A194" s="24" t="s">
        <v>169</v>
      </c>
      <c r="B194" s="23" t="n">
        <v>44062</v>
      </c>
      <c r="C194" s="11" t="s">
        <v>133</v>
      </c>
      <c r="D194" s="24" t="str">
        <f aca="false">VLOOKUP(SALIDAS[[Código Producto ]],PRODUCTOS[],2,0)</f>
        <v>Jamon tata a las finas hierbas entero</v>
      </c>
      <c r="E194" s="24" t="n">
        <v>2.98</v>
      </c>
      <c r="F194" s="17" t="n">
        <f aca="false">SALIDAS[[#This Row],[Cantidad ]]</f>
        <v>2.98</v>
      </c>
    </row>
    <row r="195" customFormat="false" ht="15.75" hidden="false" customHeight="false" outlineLevel="0" collapsed="false">
      <c r="A195" s="24" t="s">
        <v>169</v>
      </c>
      <c r="B195" s="23" t="n">
        <v>44062</v>
      </c>
      <c r="C195" s="7" t="s">
        <v>79</v>
      </c>
      <c r="D195" s="24" t="str">
        <f aca="false">VLOOKUP(SALIDAS[[Código Producto ]],PRODUCTOS[],2,0)</f>
        <v>Jamon pizza  x 3.2 Kg (Entero)</v>
      </c>
      <c r="E195" s="24" t="n">
        <v>6.3</v>
      </c>
      <c r="F195" s="17" t="n">
        <f aca="false">SALIDAS[[#This Row],[Cantidad ]]</f>
        <v>6.3</v>
      </c>
    </row>
    <row r="196" customFormat="false" ht="15.75" hidden="false" customHeight="false" outlineLevel="0" collapsed="false">
      <c r="A196" s="24" t="s">
        <v>169</v>
      </c>
      <c r="B196" s="23" t="n">
        <v>44062</v>
      </c>
      <c r="C196" s="11" t="s">
        <v>143</v>
      </c>
      <c r="D196" s="24" t="str">
        <f aca="false">VLOOKUP(SALIDAS[[Código Producto ]],PRODUCTOS[],2,0)</f>
        <v>Jamon la nonna entero</v>
      </c>
      <c r="E196" s="24" t="n">
        <v>2.99</v>
      </c>
      <c r="F196" s="17" t="n">
        <f aca="false">SALIDAS[[#This Row],[Cantidad ]]</f>
        <v>2.99</v>
      </c>
    </row>
    <row r="197" customFormat="false" ht="15.75" hidden="false" customHeight="false" outlineLevel="0" collapsed="false">
      <c r="A197" s="24" t="s">
        <v>169</v>
      </c>
      <c r="B197" s="23" t="n">
        <v>44062</v>
      </c>
      <c r="C197" s="7" t="s">
        <v>20</v>
      </c>
      <c r="D197" s="24" t="str">
        <f aca="false">VLOOKUP(SALIDAS[[Código Producto ]],PRODUCTOS[],2,0)</f>
        <v>Chorizo finas hierbas x 4 unidades 400g</v>
      </c>
      <c r="E197" s="24" t="n">
        <v>5</v>
      </c>
      <c r="F197" s="17" t="n">
        <f aca="false">SALIDAS[[#This Row],[Cantidad ]]*0.4</f>
        <v>2</v>
      </c>
    </row>
    <row r="198" customFormat="false" ht="15.75" hidden="false" customHeight="false" outlineLevel="0" collapsed="false">
      <c r="A198" s="24" t="s">
        <v>169</v>
      </c>
      <c r="B198" s="23" t="n">
        <v>44062</v>
      </c>
      <c r="C198" s="7" t="s">
        <v>18</v>
      </c>
      <c r="D198" s="24" t="str">
        <f aca="false">VLOOKUP(SALIDAS[[Código Producto ]],PRODUCTOS[],2,0)</f>
        <v>Chorizo finas hierbas x 10 unidades 250g</v>
      </c>
      <c r="E198" s="24" t="n">
        <v>6</v>
      </c>
      <c r="F198" s="17" t="n">
        <f aca="false">SALIDAS[[#This Row],[Cantidad ]]*0.25</f>
        <v>1.5</v>
      </c>
    </row>
    <row r="199" customFormat="false" ht="15.75" hidden="false" customHeight="false" outlineLevel="0" collapsed="false">
      <c r="A199" s="24" t="s">
        <v>169</v>
      </c>
      <c r="B199" s="23" t="n">
        <v>44062</v>
      </c>
      <c r="C199" s="7" t="s">
        <v>26</v>
      </c>
      <c r="D199" s="24" t="str">
        <f aca="false">VLOOKUP(SALIDAS[[Código Producto ]],PRODUCTOS[],2,0)</f>
        <v>Chorizo Oxford x 10 unidades 250g</v>
      </c>
      <c r="E199" s="24" t="n">
        <v>6</v>
      </c>
      <c r="F199" s="17" t="n">
        <f aca="false">SALIDAS[[#This Row],[Cantidad ]]*0.25</f>
        <v>1.5</v>
      </c>
    </row>
    <row r="200" customFormat="false" ht="15.75" hidden="false" customHeight="false" outlineLevel="0" collapsed="false">
      <c r="A200" s="24" t="s">
        <v>169</v>
      </c>
      <c r="B200" s="23" t="n">
        <v>44062</v>
      </c>
      <c r="C200" s="7" t="s">
        <v>14</v>
      </c>
      <c r="D200" s="24" t="str">
        <f aca="false">VLOOKUP(SALIDAS[[Código Producto ]],PRODUCTOS[],2,0)</f>
        <v>Chistorra Huachana x 6 unidades 150g</v>
      </c>
      <c r="E200" s="24" t="n">
        <v>5</v>
      </c>
      <c r="F200" s="17" t="n">
        <f aca="false">SALIDAS[[#This Row],[Cantidad ]]*0.15</f>
        <v>0.75</v>
      </c>
    </row>
    <row r="201" customFormat="false" ht="15.75" hidden="false" customHeight="false" outlineLevel="0" collapsed="false">
      <c r="A201" s="24" t="s">
        <v>169</v>
      </c>
      <c r="B201" s="23" t="n">
        <v>44062</v>
      </c>
      <c r="C201" s="11" t="s">
        <v>47</v>
      </c>
      <c r="D201" s="24" t="str">
        <f aca="false">VLOOKUP(SALIDAS[[Código Producto ]],PRODUCTOS[],2,0)</f>
        <v>Frankfurter granel x 4 unidades 250g</v>
      </c>
      <c r="E201" s="24" t="n">
        <v>5</v>
      </c>
      <c r="F201" s="17" t="n">
        <f aca="false">SALIDAS[[#This Row],[Cantidad ]]*0.24</f>
        <v>1.2</v>
      </c>
    </row>
    <row r="202" customFormat="false" ht="15.75" hidden="false" customHeight="false" outlineLevel="0" collapsed="false">
      <c r="A202" s="24" t="s">
        <v>169</v>
      </c>
      <c r="B202" s="23" t="n">
        <v>44062</v>
      </c>
      <c r="C202" s="11" t="s">
        <v>117</v>
      </c>
      <c r="D202" s="24" t="str">
        <f aca="false">VLOOKUP(SALIDAS[[Código Producto ]],PRODUCTOS[],2,0)</f>
        <v>Tocino Ahumado Redondo  x 200g (ROJO)</v>
      </c>
      <c r="E202" s="24" t="n">
        <v>5</v>
      </c>
      <c r="F202" s="17" t="n">
        <f aca="false">SALIDAS[[#This Row],[Cantidad ]]*0.2</f>
        <v>1</v>
      </c>
    </row>
    <row r="203" customFormat="false" ht="15.75" hidden="false" customHeight="false" outlineLevel="0" collapsed="false">
      <c r="A203" s="24" t="s">
        <v>187</v>
      </c>
      <c r="B203" s="23" t="n">
        <v>44062</v>
      </c>
      <c r="C203" s="7" t="s">
        <v>28</v>
      </c>
      <c r="D203" s="24" t="str">
        <f aca="false">VLOOKUP(SALIDAS[[Código Producto ]],PRODUCTOS[],2,0)</f>
        <v>Chorizo Oxford x 4 unidades 400g</v>
      </c>
      <c r="E203" s="24" t="n">
        <v>8</v>
      </c>
      <c r="F203" s="17" t="n">
        <f aca="false">SALIDAS[[#This Row],[Cantidad ]]*0.4</f>
        <v>3.2</v>
      </c>
    </row>
    <row r="204" customFormat="false" ht="15.75" hidden="false" customHeight="false" outlineLevel="0" collapsed="false">
      <c r="A204" s="24" t="s">
        <v>187</v>
      </c>
      <c r="B204" s="23" t="n">
        <v>44062</v>
      </c>
      <c r="C204" s="7" t="s">
        <v>20</v>
      </c>
      <c r="D204" s="24" t="str">
        <f aca="false">VLOOKUP(SALIDAS[[Código Producto ]],PRODUCTOS[],2,0)</f>
        <v>Chorizo finas hierbas x 4 unidades 400g</v>
      </c>
      <c r="E204" s="24" t="n">
        <v>8</v>
      </c>
      <c r="F204" s="17" t="n">
        <f aca="false">SALIDAS[[#This Row],[Cantidad ]]*0.4</f>
        <v>3.2</v>
      </c>
    </row>
    <row r="205" customFormat="false" ht="15.75" hidden="false" customHeight="false" outlineLevel="0" collapsed="false">
      <c r="A205" s="24" t="s">
        <v>187</v>
      </c>
      <c r="B205" s="23" t="n">
        <v>44062</v>
      </c>
      <c r="C205" s="11" t="s">
        <v>97</v>
      </c>
      <c r="D205" s="24" t="str">
        <f aca="false">VLOOKUP(SALIDAS[[Código Producto ]],PRODUCTOS[],2,0)</f>
        <v>Morcilla Granel x3</v>
      </c>
      <c r="E205" s="24" t="n">
        <v>8</v>
      </c>
      <c r="F205" s="17" t="n">
        <f aca="false">SALIDAS[[#This Row],[Cantidad ]]*0.25</f>
        <v>2</v>
      </c>
    </row>
    <row r="206" customFormat="false" ht="15.75" hidden="false" customHeight="false" outlineLevel="0" collapsed="false">
      <c r="A206" s="24" t="s">
        <v>187</v>
      </c>
      <c r="B206" s="23" t="n">
        <v>44062</v>
      </c>
      <c r="C206" s="11" t="s">
        <v>32</v>
      </c>
      <c r="D206" s="24" t="str">
        <f aca="false">VLOOKUP(SALIDAS[[Código Producto ]],PRODUCTOS[],2,0)</f>
        <v>Chorizo Sweet Spicy 400g</v>
      </c>
      <c r="E206" s="24" t="n">
        <v>8</v>
      </c>
      <c r="F206" s="17" t="n">
        <f aca="false">SALIDAS[[#This Row],[Cantidad ]]*0.4</f>
        <v>3.2</v>
      </c>
    </row>
    <row r="207" customFormat="false" ht="15.75" hidden="false" customHeight="false" outlineLevel="0" collapsed="false">
      <c r="A207" s="24" t="s">
        <v>188</v>
      </c>
      <c r="B207" s="23" t="n">
        <v>44062</v>
      </c>
      <c r="C207" s="11" t="s">
        <v>51</v>
      </c>
      <c r="D207" s="24" t="str">
        <f aca="false">VLOOKUP(SALIDAS[[Código Producto ]],PRODUCTOS[],2,0)</f>
        <v>Frankfurter x 1Kg</v>
      </c>
      <c r="E207" s="24" t="n">
        <v>25</v>
      </c>
      <c r="F207" s="17" t="n">
        <f aca="false">SALIDAS[[#This Row],[Cantidad ]]</f>
        <v>25</v>
      </c>
    </row>
    <row r="208" customFormat="false" ht="15.75" hidden="true" customHeight="false" outlineLevel="0" collapsed="false">
      <c r="A208" s="24" t="s">
        <v>189</v>
      </c>
      <c r="B208" s="23" t="n">
        <v>44062</v>
      </c>
      <c r="C208" s="11" t="s">
        <v>87</v>
      </c>
      <c r="D208" s="24" t="str">
        <f aca="false">VLOOKUP(SALIDAS[[Código Producto ]],PRODUCTOS[],2,0)</f>
        <v>Lomo ahumado x 250g</v>
      </c>
      <c r="E208" s="24" t="n">
        <v>1</v>
      </c>
      <c r="F208" s="17" t="n">
        <f aca="false">SALIDAS[[#This Row],[Cantidad ]]*0.25</f>
        <v>0.25</v>
      </c>
    </row>
    <row r="209" customFormat="false" ht="15.75" hidden="true" customHeight="false" outlineLevel="0" collapsed="false">
      <c r="A209" s="24" t="s">
        <v>189</v>
      </c>
      <c r="B209" s="23" t="n">
        <v>44062</v>
      </c>
      <c r="C209" s="11" t="s">
        <v>83</v>
      </c>
      <c r="D209" s="24" t="str">
        <f aca="false">VLOOKUP(SALIDAS[[Código Producto ]],PRODUCTOS[],2,0)</f>
        <v>Jamon Pizza x 500g</v>
      </c>
      <c r="E209" s="24" t="n">
        <v>1</v>
      </c>
      <c r="F209" s="17" t="n">
        <f aca="false">SALIDAS[[#This Row],[Cantidad ]]*0.5</f>
        <v>0.5</v>
      </c>
    </row>
    <row r="210" customFormat="false" ht="15.75" hidden="false" customHeight="false" outlineLevel="0" collapsed="false">
      <c r="A210" s="24" t="s">
        <v>190</v>
      </c>
      <c r="B210" s="23" t="n">
        <v>44062</v>
      </c>
      <c r="C210" s="7" t="s">
        <v>28</v>
      </c>
      <c r="D210" s="24" t="str">
        <f aca="false">VLOOKUP(SALIDAS[[Código Producto ]],PRODUCTOS[],2,0)</f>
        <v>Chorizo Oxford x 4 unidades 400g</v>
      </c>
      <c r="E210" s="24" t="n">
        <v>8</v>
      </c>
      <c r="F210" s="17" t="n">
        <f aca="false">SALIDAS[[#This Row],[Cantidad ]]*0.4</f>
        <v>3.2</v>
      </c>
    </row>
    <row r="211" customFormat="false" ht="15.75" hidden="false" customHeight="false" outlineLevel="0" collapsed="false">
      <c r="A211" s="24" t="s">
        <v>190</v>
      </c>
      <c r="B211" s="23" t="n">
        <v>44062</v>
      </c>
      <c r="C211" s="7" t="s">
        <v>20</v>
      </c>
      <c r="D211" s="24" t="str">
        <f aca="false">VLOOKUP(SALIDAS[[Código Producto ]],PRODUCTOS[],2,0)</f>
        <v>Chorizo finas hierbas x 4 unidades 400g</v>
      </c>
      <c r="E211" s="24" t="n">
        <v>8</v>
      </c>
      <c r="F211" s="17" t="n">
        <f aca="false">SALIDAS[[#This Row],[Cantidad ]]*0.4</f>
        <v>3.2</v>
      </c>
    </row>
    <row r="212" customFormat="false" ht="15.75" hidden="false" customHeight="false" outlineLevel="0" collapsed="false">
      <c r="A212" s="24" t="s">
        <v>190</v>
      </c>
      <c r="B212" s="23" t="n">
        <v>44062</v>
      </c>
      <c r="C212" s="11" t="s">
        <v>32</v>
      </c>
      <c r="D212" s="24" t="str">
        <f aca="false">VLOOKUP(SALIDAS[[Código Producto ]],PRODUCTOS[],2,0)</f>
        <v>Chorizo Sweet Spicy 400g</v>
      </c>
      <c r="E212" s="24" t="n">
        <v>8</v>
      </c>
      <c r="F212" s="17" t="n">
        <f aca="false">SALIDAS[[#This Row],[Cantidad ]]*0.4</f>
        <v>3.2</v>
      </c>
    </row>
    <row r="213" customFormat="false" ht="15.75" hidden="false" customHeight="false" outlineLevel="0" collapsed="false">
      <c r="A213" s="24" t="s">
        <v>190</v>
      </c>
      <c r="B213" s="23" t="n">
        <v>44062</v>
      </c>
      <c r="C213" s="7" t="s">
        <v>14</v>
      </c>
      <c r="D213" s="24" t="str">
        <f aca="false">VLOOKUP(SALIDAS[[Código Producto ]],PRODUCTOS[],2,0)</f>
        <v>Chistorra Huachana x 6 unidades 150g</v>
      </c>
      <c r="E213" s="24" t="n">
        <v>12</v>
      </c>
      <c r="F213" s="17" t="n">
        <f aca="false">SALIDAS[[#This Row],[Cantidad ]]*0.15</f>
        <v>1.8</v>
      </c>
    </row>
    <row r="214" customFormat="false" ht="15.75" hidden="false" customHeight="false" outlineLevel="0" collapsed="false">
      <c r="A214" s="24" t="s">
        <v>190</v>
      </c>
      <c r="B214" s="23" t="n">
        <v>44062</v>
      </c>
      <c r="C214" s="11" t="s">
        <v>117</v>
      </c>
      <c r="D214" s="24" t="str">
        <f aca="false">VLOOKUP(SALIDAS[[Código Producto ]],PRODUCTOS[],2,0)</f>
        <v>Tocino Ahumado Redondo  x 200g (ROJO)</v>
      </c>
      <c r="E214" s="24" t="n">
        <v>12</v>
      </c>
      <c r="F214" s="17" t="n">
        <f aca="false">SALIDAS[[#This Row],[Cantidad ]]*0.2</f>
        <v>2.4</v>
      </c>
    </row>
    <row r="215" customFormat="false" ht="15.75" hidden="false" customHeight="false" outlineLevel="0" collapsed="false">
      <c r="A215" s="24" t="s">
        <v>190</v>
      </c>
      <c r="B215" s="23" t="n">
        <v>44062</v>
      </c>
      <c r="C215" s="11" t="s">
        <v>97</v>
      </c>
      <c r="D215" s="24" t="str">
        <f aca="false">VLOOKUP(SALIDAS[[Código Producto ]],PRODUCTOS[],2,0)</f>
        <v>Morcilla Granel x3</v>
      </c>
      <c r="E215" s="24" t="n">
        <v>6</v>
      </c>
      <c r="F215" s="17" t="n">
        <f aca="false">SALIDAS[[#This Row],[Cantidad ]]*0.25</f>
        <v>1.5</v>
      </c>
    </row>
    <row r="216" customFormat="false" ht="15.75" hidden="false" customHeight="false" outlineLevel="0" collapsed="false">
      <c r="A216" s="24" t="s">
        <v>190</v>
      </c>
      <c r="B216" s="23" t="n">
        <v>44062</v>
      </c>
      <c r="C216" s="7" t="s">
        <v>75</v>
      </c>
      <c r="D216" s="24" t="str">
        <f aca="false">VLOOKUP(SALIDAS[[Código Producto ]],PRODUCTOS[],2,0)</f>
        <v>Jamon Ingles x 250g</v>
      </c>
      <c r="E216" s="24" t="n">
        <v>8</v>
      </c>
      <c r="F216" s="17" t="n">
        <f aca="false">SALIDAS[[#This Row],[Cantidad ]]*0.25</f>
        <v>2</v>
      </c>
    </row>
    <row r="217" customFormat="false" ht="15.75" hidden="false" customHeight="false" outlineLevel="0" collapsed="false">
      <c r="A217" s="24" t="s">
        <v>190</v>
      </c>
      <c r="B217" s="23" t="n">
        <v>44062</v>
      </c>
      <c r="C217" s="11" t="s">
        <v>131</v>
      </c>
      <c r="D217" s="24" t="str">
        <f aca="false">VLOOKUP(SALIDAS[[Código Producto ]],PRODUCTOS[],2,0)</f>
        <v>Jamon tata x 250 gr</v>
      </c>
      <c r="E217" s="24" t="n">
        <v>12</v>
      </c>
      <c r="F217" s="17" t="n">
        <f aca="false">SALIDAS[[#This Row],[Cantidad ]]*0.25</f>
        <v>3</v>
      </c>
    </row>
    <row r="218" customFormat="false" ht="15.75" hidden="false" customHeight="false" outlineLevel="0" collapsed="false">
      <c r="A218" s="24" t="s">
        <v>190</v>
      </c>
      <c r="B218" s="23" t="n">
        <v>44062</v>
      </c>
      <c r="C218" s="11" t="s">
        <v>87</v>
      </c>
      <c r="D218" s="24" t="str">
        <f aca="false">VLOOKUP(SALIDAS[[Código Producto ]],PRODUCTOS[],2,0)</f>
        <v>Lomo ahumado x 250g</v>
      </c>
      <c r="E218" s="24" t="n">
        <v>6</v>
      </c>
      <c r="F218" s="17" t="n">
        <f aca="false">SALIDAS[[#This Row],[Cantidad ]]*0.25</f>
        <v>1.5</v>
      </c>
    </row>
    <row r="219" customFormat="false" ht="15.75" hidden="false" customHeight="false" outlineLevel="0" collapsed="false">
      <c r="A219" s="24" t="s">
        <v>191</v>
      </c>
      <c r="B219" s="23" t="n">
        <v>44062</v>
      </c>
      <c r="C219" s="11" t="s">
        <v>83</v>
      </c>
      <c r="D219" s="24" t="str">
        <f aca="false">VLOOKUP(SALIDAS[[Código Producto ]],PRODUCTOS[],2,0)</f>
        <v>Jamon Pizza x 500g</v>
      </c>
      <c r="E219" s="24" t="n">
        <v>20</v>
      </c>
      <c r="F219" s="17" t="n">
        <f aca="false">SALIDAS[[#This Row],[Cantidad ]]*0.5</f>
        <v>10</v>
      </c>
    </row>
    <row r="220" customFormat="false" ht="15.75" hidden="false" customHeight="false" outlineLevel="0" collapsed="false">
      <c r="A220" s="24" t="s">
        <v>191</v>
      </c>
      <c r="B220" s="23" t="n">
        <v>44062</v>
      </c>
      <c r="C220" s="7" t="s">
        <v>43</v>
      </c>
      <c r="D220" s="24" t="str">
        <f aca="false">VLOOKUP(SALIDAS[[Código Producto ]],PRODUCTOS[],2,0)</f>
        <v>Frankfurter Gastronomico x 2Kg</v>
      </c>
      <c r="E220" s="24" t="n">
        <v>2</v>
      </c>
      <c r="F220" s="17" t="n">
        <f aca="false">SALIDAS[[#This Row],[Cantidad ]]*2</f>
        <v>4</v>
      </c>
    </row>
    <row r="221" customFormat="false" ht="15.75" hidden="false" customHeight="false" outlineLevel="0" collapsed="false">
      <c r="A221" s="24" t="s">
        <v>191</v>
      </c>
      <c r="B221" s="23" t="n">
        <v>44062</v>
      </c>
      <c r="C221" s="7" t="s">
        <v>75</v>
      </c>
      <c r="D221" s="24" t="str">
        <f aca="false">VLOOKUP(SALIDAS[[Código Producto ]],PRODUCTOS[],2,0)</f>
        <v>Jamon Ingles x 250g</v>
      </c>
      <c r="E221" s="24" t="n">
        <v>4</v>
      </c>
      <c r="F221" s="17" t="n">
        <f aca="false">SALIDAS[[#This Row],[Cantidad ]]*0.25</f>
        <v>1</v>
      </c>
    </row>
    <row r="222" customFormat="false" ht="15.75" hidden="false" customHeight="false" outlineLevel="0" collapsed="false">
      <c r="A222" s="24" t="s">
        <v>191</v>
      </c>
      <c r="B222" s="23" t="n">
        <v>44062</v>
      </c>
      <c r="C222" s="11" t="s">
        <v>117</v>
      </c>
      <c r="D222" s="24" t="str">
        <f aca="false">VLOOKUP(SALIDAS[[Código Producto ]],PRODUCTOS[],2,0)</f>
        <v>Tocino Ahumado Redondo  x 200g (ROJO)</v>
      </c>
      <c r="E222" s="24" t="n">
        <v>5</v>
      </c>
      <c r="F222" s="17" t="n">
        <f aca="false">SALIDAS[[#This Row],[Cantidad ]]*0.2</f>
        <v>1</v>
      </c>
    </row>
    <row r="223" customFormat="false" ht="15.75" hidden="true" customHeight="false" outlineLevel="0" collapsed="false">
      <c r="A223" s="24" t="s">
        <v>192</v>
      </c>
      <c r="B223" s="23" t="n">
        <v>44062</v>
      </c>
      <c r="C223" s="11" t="s">
        <v>125</v>
      </c>
      <c r="D223" s="24" t="str">
        <f aca="false">VLOOKUP(SALIDAS[[Código Producto ]],PRODUCTOS[],2,0)</f>
        <v>Vienesa x 5 unidades X 250g</v>
      </c>
      <c r="E223" s="24" t="n">
        <v>1</v>
      </c>
      <c r="F223" s="17" t="n">
        <f aca="false">SALIDAS[[#This Row],[Cantidad ]]*0.25</f>
        <v>0.25</v>
      </c>
    </row>
    <row r="224" customFormat="false" ht="15.75" hidden="true" customHeight="false" outlineLevel="0" collapsed="false">
      <c r="A224" s="24" t="s">
        <v>192</v>
      </c>
      <c r="B224" s="23" t="n">
        <v>44062</v>
      </c>
      <c r="C224" s="11" t="s">
        <v>117</v>
      </c>
      <c r="D224" s="24" t="str">
        <f aca="false">VLOOKUP(SALIDAS[[Código Producto ]],PRODUCTOS[],2,0)</f>
        <v>Tocino Ahumado Redondo  x 200g (ROJO)</v>
      </c>
      <c r="E224" s="24" t="n">
        <v>2</v>
      </c>
      <c r="F224" s="17" t="n">
        <f aca="false">SALIDAS[[#This Row],[Cantidad ]]*0.2</f>
        <v>0.4</v>
      </c>
    </row>
    <row r="225" customFormat="false" ht="15.75" hidden="true" customHeight="false" outlineLevel="0" collapsed="false">
      <c r="A225" s="24" t="s">
        <v>192</v>
      </c>
      <c r="B225" s="23" t="n">
        <v>44062</v>
      </c>
      <c r="C225" s="7" t="s">
        <v>69</v>
      </c>
      <c r="D225" s="24" t="str">
        <f aca="false">VLOOKUP(SALIDAS[[Código Producto ]],PRODUCTOS[],2,0)</f>
        <v>Jamon del país artesanal 250g</v>
      </c>
      <c r="E225" s="24" t="n">
        <v>1</v>
      </c>
      <c r="F225" s="17" t="n">
        <f aca="false">SALIDAS[[#This Row],[Cantidad ]]*0.25</f>
        <v>0.25</v>
      </c>
    </row>
    <row r="226" customFormat="false" ht="15.75" hidden="true" customHeight="false" outlineLevel="0" collapsed="false">
      <c r="A226" s="24" t="s">
        <v>192</v>
      </c>
      <c r="B226" s="23" t="n">
        <v>44062</v>
      </c>
      <c r="C226" s="11" t="s">
        <v>111</v>
      </c>
      <c r="D226" s="24" t="str">
        <f aca="false">VLOOKUP(SALIDAS[[Código Producto ]],PRODUCTOS[],2,0)</f>
        <v>Tocino Ahumado Natural x250g</v>
      </c>
      <c r="E226" s="24" t="n">
        <v>1</v>
      </c>
      <c r="F226" s="17" t="n">
        <f aca="false">SALIDAS[[#This Row],[Cantidad ]]*0.25</f>
        <v>0.25</v>
      </c>
    </row>
    <row r="227" customFormat="false" ht="15.75" hidden="true" customHeight="false" outlineLevel="0" collapsed="false">
      <c r="A227" s="24" t="s">
        <v>192</v>
      </c>
      <c r="B227" s="23" t="n">
        <v>44062</v>
      </c>
      <c r="C227" s="11" t="s">
        <v>139</v>
      </c>
      <c r="D227" s="24" t="str">
        <f aca="false">VLOOKUP(SALIDAS[[Código Producto ]],PRODUCTOS[],2,0)</f>
        <v>Jamon La nonna x 250g</v>
      </c>
      <c r="E227" s="24" t="n">
        <v>1</v>
      </c>
      <c r="F227" s="17" t="n">
        <f aca="false">SALIDAS[[#This Row],[Cantidad ]]*0.25</f>
        <v>0.25</v>
      </c>
    </row>
    <row r="228" customFormat="false" ht="15.75" hidden="true" customHeight="false" outlineLevel="0" collapsed="false">
      <c r="A228" s="24" t="s">
        <v>193</v>
      </c>
      <c r="B228" s="23" t="n">
        <v>44062</v>
      </c>
      <c r="C228" s="7" t="s">
        <v>26</v>
      </c>
      <c r="D228" s="24" t="str">
        <f aca="false">VLOOKUP(SALIDAS[[Código Producto ]],PRODUCTOS[],2,0)</f>
        <v>Chorizo Oxford x 10 unidades 250g</v>
      </c>
      <c r="E228" s="24" t="n">
        <v>4</v>
      </c>
      <c r="F228" s="17" t="n">
        <f aca="false">SALIDAS[[#This Row],[Cantidad ]]*0.25</f>
        <v>1</v>
      </c>
    </row>
    <row r="229" customFormat="false" ht="15.75" hidden="true" customHeight="false" outlineLevel="0" collapsed="false">
      <c r="A229" s="24" t="s">
        <v>193</v>
      </c>
      <c r="B229" s="23" t="n">
        <v>44062</v>
      </c>
      <c r="C229" s="7" t="s">
        <v>22</v>
      </c>
      <c r="D229" s="24" t="str">
        <f aca="false">VLOOKUP(SALIDAS[[Código Producto ]],PRODUCTOS[],2,0)</f>
        <v>Chorizo finas hierbas x 6 unidades 600g</v>
      </c>
      <c r="E229" s="24" t="n">
        <v>1</v>
      </c>
      <c r="F229" s="17" t="n">
        <f aca="false">SALIDAS[[#This Row],[Cantidad ]]*0.6</f>
        <v>0.6</v>
      </c>
    </row>
    <row r="230" customFormat="false" ht="15.75" hidden="true" customHeight="false" outlineLevel="0" collapsed="false">
      <c r="A230" s="24" t="s">
        <v>193</v>
      </c>
      <c r="B230" s="23" t="n">
        <v>44062</v>
      </c>
      <c r="C230" s="7" t="s">
        <v>41</v>
      </c>
      <c r="D230" s="24" t="str">
        <f aca="false">VLOOKUP(SALIDAS[[Código Producto ]],PRODUCTOS[],2,0)</f>
        <v>Frankfurter cocktail x 10 unidades x 250g</v>
      </c>
      <c r="E230" s="24" t="n">
        <v>4</v>
      </c>
      <c r="F230" s="17" t="n">
        <f aca="false">SALIDAS[[#This Row],[Cantidad ]]*0.25</f>
        <v>1</v>
      </c>
    </row>
    <row r="231" customFormat="false" ht="15.75" hidden="true" customHeight="false" outlineLevel="0" collapsed="false">
      <c r="A231" s="24" t="s">
        <v>193</v>
      </c>
      <c r="B231" s="23" t="n">
        <v>44062</v>
      </c>
      <c r="C231" s="11" t="s">
        <v>125</v>
      </c>
      <c r="D231" s="24" t="str">
        <f aca="false">VLOOKUP(SALIDAS[[Código Producto ]],PRODUCTOS[],2,0)</f>
        <v>Vienesa x 5 unidades X 250g</v>
      </c>
      <c r="E231" s="24" t="n">
        <v>4</v>
      </c>
      <c r="F231" s="17" t="n">
        <f aca="false">SALIDAS[[#This Row],[Cantidad ]]*0.25</f>
        <v>1</v>
      </c>
    </row>
    <row r="232" customFormat="false" ht="15.75" hidden="true" customHeight="false" outlineLevel="0" collapsed="false">
      <c r="A232" s="24" t="s">
        <v>193</v>
      </c>
      <c r="B232" s="23" t="n">
        <v>44062</v>
      </c>
      <c r="C232" s="11" t="s">
        <v>97</v>
      </c>
      <c r="D232" s="24" t="str">
        <f aca="false">VLOOKUP(SALIDAS[[Código Producto ]],PRODUCTOS[],2,0)</f>
        <v>Morcilla Granel x3</v>
      </c>
      <c r="E232" s="24" t="n">
        <v>2</v>
      </c>
      <c r="F232" s="17" t="n">
        <f aca="false">SALIDAS[[#This Row],[Cantidad ]]*0.25</f>
        <v>0.5</v>
      </c>
      <c r="G232" s="26"/>
    </row>
    <row r="233" customFormat="false" ht="15.75" hidden="true" customHeight="false" outlineLevel="0" collapsed="false">
      <c r="A233" s="24" t="s">
        <v>193</v>
      </c>
      <c r="B233" s="23" t="n">
        <v>44062</v>
      </c>
      <c r="C233" s="11" t="s">
        <v>95</v>
      </c>
      <c r="D233" s="24" t="str">
        <f aca="false">VLOOKUP(SALIDAS[[Código Producto ]],PRODUCTOS[],2,0)</f>
        <v>Morcilla Cocktail x10</v>
      </c>
      <c r="E233" s="24" t="n">
        <v>1</v>
      </c>
      <c r="F233" s="17" t="n">
        <f aca="false">SALIDAS[[#This Row],[Cantidad ]]*0.25</f>
        <v>0.25</v>
      </c>
      <c r="G233" s="26"/>
    </row>
    <row r="234" customFormat="false" ht="15.75" hidden="true" customHeight="false" outlineLevel="0" collapsed="false">
      <c r="A234" s="24" t="s">
        <v>193</v>
      </c>
      <c r="B234" s="23" t="n">
        <v>44062</v>
      </c>
      <c r="C234" s="7" t="s">
        <v>14</v>
      </c>
      <c r="D234" s="24" t="str">
        <f aca="false">VLOOKUP(SALIDAS[[Código Producto ]],PRODUCTOS[],2,0)</f>
        <v>Chistorra Huachana x 6 unidades 150g</v>
      </c>
      <c r="E234" s="24" t="n">
        <v>2</v>
      </c>
      <c r="F234" s="17" t="n">
        <f aca="false">SALIDAS[[#This Row],[Cantidad ]]*0.15</f>
        <v>0.3</v>
      </c>
      <c r="G234" s="26"/>
    </row>
    <row r="235" customFormat="false" ht="15.75" hidden="true" customHeight="false" outlineLevel="0" collapsed="false">
      <c r="A235" s="24" t="s">
        <v>193</v>
      </c>
      <c r="B235" s="23" t="n">
        <v>44062</v>
      </c>
      <c r="C235" s="7" t="s">
        <v>75</v>
      </c>
      <c r="D235" s="24" t="str">
        <f aca="false">VLOOKUP(SALIDAS[[Código Producto ]],PRODUCTOS[],2,0)</f>
        <v>Jamon Ingles x 250g</v>
      </c>
      <c r="E235" s="24" t="n">
        <v>1</v>
      </c>
      <c r="F235" s="17" t="n">
        <f aca="false">SALIDAS[[#This Row],[Cantidad ]]*0.25</f>
        <v>0.25</v>
      </c>
      <c r="G235" s="26"/>
    </row>
    <row r="236" customFormat="false" ht="15.75" hidden="true" customHeight="false" outlineLevel="0" collapsed="false">
      <c r="A236" s="24" t="s">
        <v>193</v>
      </c>
      <c r="B236" s="23" t="n">
        <v>44062</v>
      </c>
      <c r="C236" s="7" t="s">
        <v>69</v>
      </c>
      <c r="D236" s="24" t="str">
        <f aca="false">VLOOKUP(SALIDAS[[Código Producto ]],PRODUCTOS[],2,0)</f>
        <v>Jamon del país artesanal 250g</v>
      </c>
      <c r="E236" s="24" t="n">
        <v>1</v>
      </c>
      <c r="F236" s="17" t="n">
        <f aca="false">SALIDAS[[#This Row],[Cantidad ]]*0.25</f>
        <v>0.25</v>
      </c>
      <c r="G236" s="26"/>
    </row>
    <row r="237" customFormat="false" ht="15.75" hidden="true" customHeight="false" outlineLevel="0" collapsed="false">
      <c r="A237" s="24" t="s">
        <v>193</v>
      </c>
      <c r="B237" s="23" t="n">
        <v>44062</v>
      </c>
      <c r="C237" s="11" t="s">
        <v>113</v>
      </c>
      <c r="D237" s="24" t="str">
        <f aca="false">VLOOKUP(SALIDAS[[Código Producto ]],PRODUCTOS[],2,0)</f>
        <v>Tocino Ahumado Natural x500g</v>
      </c>
      <c r="E237" s="24" t="n">
        <v>1</v>
      </c>
      <c r="F237" s="17" t="n">
        <f aca="false">SALIDAS[[#This Row],[Cantidad ]]*0.5</f>
        <v>0.5</v>
      </c>
      <c r="G237" s="26"/>
    </row>
    <row r="238" customFormat="false" ht="15.75" hidden="true" customHeight="false" outlineLevel="0" collapsed="false">
      <c r="A238" s="24" t="s">
        <v>193</v>
      </c>
      <c r="B238" s="23" t="n">
        <v>44062</v>
      </c>
      <c r="C238" s="7" t="s">
        <v>107</v>
      </c>
      <c r="D238" s="24" t="str">
        <f aca="false">VLOOKUP(SALIDAS[[Código Producto ]],PRODUCTOS[],2,0)</f>
        <v>Tocino Ahumado Natural Entero </v>
      </c>
      <c r="E238" s="24" t="n">
        <v>1.65</v>
      </c>
      <c r="F238" s="17" t="n">
        <f aca="false">SALIDAS[[#This Row],[Cantidad ]]</f>
        <v>1.65</v>
      </c>
    </row>
    <row r="239" customFormat="false" ht="15.75" hidden="true" customHeight="false" outlineLevel="0" collapsed="false">
      <c r="A239" s="24" t="s">
        <v>193</v>
      </c>
      <c r="B239" s="23" t="n">
        <v>44062</v>
      </c>
      <c r="C239" s="11" t="s">
        <v>87</v>
      </c>
      <c r="D239" s="24" t="str">
        <f aca="false">VLOOKUP(SALIDAS[[Código Producto ]],PRODUCTOS[],2,0)</f>
        <v>Lomo ahumado x 250g</v>
      </c>
      <c r="E239" s="24" t="n">
        <v>1</v>
      </c>
      <c r="F239" s="17" t="n">
        <f aca="false">SALIDAS[[#This Row],[Cantidad ]]*0.25</f>
        <v>0.25</v>
      </c>
    </row>
    <row r="240" customFormat="false" ht="15.75" hidden="true" customHeight="false" outlineLevel="0" collapsed="false">
      <c r="A240" s="24" t="s">
        <v>193</v>
      </c>
      <c r="B240" s="23" t="n">
        <v>44062</v>
      </c>
      <c r="C240" s="7" t="s">
        <v>4</v>
      </c>
      <c r="D240" s="24" t="str">
        <f aca="false">VLOOKUP(SALIDAS[[Código Producto ]],PRODUCTOS[],2,0)</f>
        <v>Bondiola X 250G</v>
      </c>
      <c r="E240" s="24" t="n">
        <v>1</v>
      </c>
      <c r="F240" s="17" t="n">
        <f aca="false">SALIDAS[[#This Row],[Cantidad ]]*0.25</f>
        <v>0.25</v>
      </c>
    </row>
    <row r="241" customFormat="false" ht="15.75" hidden="true" customHeight="false" outlineLevel="0" collapsed="false">
      <c r="A241" s="24" t="s">
        <v>193</v>
      </c>
      <c r="B241" s="23" t="n">
        <v>44062</v>
      </c>
      <c r="C241" s="11" t="s">
        <v>103</v>
      </c>
      <c r="D241" s="24" t="str">
        <f aca="false">VLOOKUP(SALIDAS[[Código Producto ]],PRODUCTOS[],2,0)</f>
        <v>Solomillo x KILO </v>
      </c>
      <c r="E241" s="24" t="n">
        <v>0.35</v>
      </c>
      <c r="F241" s="17" t="n">
        <f aca="false">SALIDAS[[#This Row],[Cantidad ]]</f>
        <v>0.35</v>
      </c>
    </row>
    <row r="242" customFormat="false" ht="15.75" hidden="true" customHeight="false" outlineLevel="0" collapsed="false">
      <c r="A242" s="24" t="s">
        <v>193</v>
      </c>
      <c r="B242" s="23" t="n">
        <v>44062</v>
      </c>
      <c r="C242" s="11" t="s">
        <v>131</v>
      </c>
      <c r="D242" s="24" t="str">
        <f aca="false">VLOOKUP(SALIDAS[[Código Producto ]],PRODUCTOS[],2,0)</f>
        <v>Jamon tata x 250 gr</v>
      </c>
      <c r="E242" s="24" t="n">
        <v>1</v>
      </c>
      <c r="F242" s="17" t="n">
        <f aca="false">SALIDAS[[#This Row],[Cantidad ]]*0.25</f>
        <v>0.25</v>
      </c>
    </row>
    <row r="243" customFormat="false" ht="15.75" hidden="true" customHeight="false" outlineLevel="0" collapsed="false">
      <c r="A243" s="24" t="s">
        <v>193</v>
      </c>
      <c r="B243" s="23" t="n">
        <v>44062</v>
      </c>
      <c r="C243" s="11" t="s">
        <v>34</v>
      </c>
      <c r="D243" s="24" t="str">
        <f aca="false">VLOOKUP(SALIDAS[[Código Producto ]],PRODUCTOS[],2,0)</f>
        <v>Chorizo Sweet Spicy 600g</v>
      </c>
      <c r="E243" s="24" t="n">
        <v>1</v>
      </c>
      <c r="F243" s="17" t="n">
        <f aca="false">SALIDAS[[#This Row],[Cantidad ]]*0.6</f>
        <v>0.6</v>
      </c>
    </row>
    <row r="244" customFormat="false" ht="15.75" hidden="true" customHeight="false" outlineLevel="0" collapsed="false">
      <c r="A244" s="24" t="s">
        <v>193</v>
      </c>
      <c r="B244" s="23" t="n">
        <v>44062</v>
      </c>
      <c r="C244" s="11" t="s">
        <v>139</v>
      </c>
      <c r="D244" s="24" t="str">
        <f aca="false">VLOOKUP(SALIDAS[[Código Producto ]],PRODUCTOS[],2,0)</f>
        <v>Jamon La nonna x 250g</v>
      </c>
      <c r="E244" s="24" t="n">
        <v>1</v>
      </c>
      <c r="F244" s="17" t="n">
        <f aca="false">SALIDAS[[#This Row],[Cantidad ]]*0.25</f>
        <v>0.25</v>
      </c>
    </row>
    <row r="245" customFormat="false" ht="15.75" hidden="true" customHeight="false" outlineLevel="0" collapsed="false">
      <c r="A245" s="24" t="s">
        <v>194</v>
      </c>
      <c r="B245" s="23" t="n">
        <v>44062</v>
      </c>
      <c r="C245" s="7" t="s">
        <v>26</v>
      </c>
      <c r="D245" s="24" t="str">
        <f aca="false">VLOOKUP(SALIDAS[[Código Producto ]],PRODUCTOS[],2,0)</f>
        <v>Chorizo Oxford x 10 unidades 250g</v>
      </c>
      <c r="E245" s="24" t="n">
        <v>1</v>
      </c>
      <c r="F245" s="17" t="n">
        <f aca="false">SALIDAS[[#This Row],[Cantidad ]]*0.25</f>
        <v>0.25</v>
      </c>
    </row>
    <row r="246" customFormat="false" ht="15.75" hidden="true" customHeight="false" outlineLevel="0" collapsed="false">
      <c r="A246" s="24" t="s">
        <v>194</v>
      </c>
      <c r="B246" s="23" t="n">
        <v>44062</v>
      </c>
      <c r="C246" s="7" t="s">
        <v>18</v>
      </c>
      <c r="D246" s="24" t="str">
        <f aca="false">VLOOKUP(SALIDAS[[Código Producto ]],PRODUCTOS[],2,0)</f>
        <v>Chorizo finas hierbas x 10 unidades 250g</v>
      </c>
      <c r="E246" s="24" t="n">
        <v>1</v>
      </c>
      <c r="F246" s="17" t="n">
        <f aca="false">SALIDAS[[#This Row],[Cantidad ]]*0.25</f>
        <v>0.25</v>
      </c>
    </row>
    <row r="247" customFormat="false" ht="15.75" hidden="true" customHeight="false" outlineLevel="0" collapsed="false">
      <c r="A247" s="24" t="s">
        <v>194</v>
      </c>
      <c r="B247" s="23" t="n">
        <v>44062</v>
      </c>
      <c r="C247" s="7" t="s">
        <v>41</v>
      </c>
      <c r="D247" s="24" t="str">
        <f aca="false">VLOOKUP(SALIDAS[[Código Producto ]],PRODUCTOS[],2,0)</f>
        <v>Frankfurter cocktail x 10 unidades x 250g</v>
      </c>
      <c r="E247" s="24" t="n">
        <v>1</v>
      </c>
      <c r="F247" s="17" t="n">
        <f aca="false">SALIDAS[[#This Row],[Cantidad ]]*0.25</f>
        <v>0.25</v>
      </c>
    </row>
    <row r="248" customFormat="false" ht="15.75" hidden="true" customHeight="false" outlineLevel="0" collapsed="false">
      <c r="A248" s="24" t="s">
        <v>194</v>
      </c>
      <c r="B248" s="23" t="n">
        <v>44062</v>
      </c>
      <c r="C248" s="11" t="s">
        <v>47</v>
      </c>
      <c r="D248" s="24" t="str">
        <f aca="false">VLOOKUP(SALIDAS[[Código Producto ]],PRODUCTOS[],2,0)</f>
        <v>Frankfurter granel x 4 unidades 250g</v>
      </c>
      <c r="E248" s="24" t="n">
        <v>1</v>
      </c>
      <c r="F248" s="17" t="n">
        <f aca="false">SALIDAS[[#This Row],[Cantidad ]]*0.24</f>
        <v>0.24</v>
      </c>
    </row>
    <row r="249" customFormat="false" ht="15.75" hidden="true" customHeight="false" outlineLevel="0" collapsed="false">
      <c r="A249" s="24" t="s">
        <v>194</v>
      </c>
      <c r="B249" s="23" t="n">
        <v>44062</v>
      </c>
      <c r="C249" s="7" t="s">
        <v>49</v>
      </c>
      <c r="D249" s="24" t="str">
        <f aca="false">VLOOKUP(SALIDAS[[Código Producto ]],PRODUCTOS[],2,0)</f>
        <v>Frankfurter municipal x 3 unidades </v>
      </c>
      <c r="E249" s="24" t="n">
        <v>1</v>
      </c>
      <c r="F249" s="17" t="n">
        <f aca="false">SALIDAS[[#This Row],[Cantidad ]]*0.45</f>
        <v>0.45</v>
      </c>
    </row>
    <row r="250" customFormat="false" ht="15.75" hidden="true" customHeight="false" outlineLevel="0" collapsed="false">
      <c r="A250" s="24" t="s">
        <v>194</v>
      </c>
      <c r="B250" s="23" t="n">
        <v>44062</v>
      </c>
      <c r="C250" s="11" t="s">
        <v>95</v>
      </c>
      <c r="D250" s="24" t="str">
        <f aca="false">VLOOKUP(SALIDAS[[Código Producto ]],PRODUCTOS[],2,0)</f>
        <v>Morcilla Cocktail x10</v>
      </c>
      <c r="E250" s="24" t="n">
        <v>1</v>
      </c>
      <c r="F250" s="17" t="n">
        <f aca="false">SALIDAS[[#This Row],[Cantidad ]]*0.25</f>
        <v>0.25</v>
      </c>
    </row>
    <row r="251" customFormat="false" ht="15.75" hidden="true" customHeight="false" outlineLevel="0" collapsed="false">
      <c r="A251" s="24" t="s">
        <v>194</v>
      </c>
      <c r="B251" s="23" t="n">
        <v>44062</v>
      </c>
      <c r="C251" s="7" t="s">
        <v>69</v>
      </c>
      <c r="D251" s="24" t="str">
        <f aca="false">VLOOKUP(SALIDAS[[Código Producto ]],PRODUCTOS[],2,0)</f>
        <v>Jamon del país artesanal 250g</v>
      </c>
      <c r="E251" s="24" t="n">
        <v>1</v>
      </c>
      <c r="F251" s="17" t="n">
        <f aca="false">SALIDAS[[#This Row],[Cantidad ]]*0.25</f>
        <v>0.25</v>
      </c>
    </row>
    <row r="252" customFormat="false" ht="15.75" hidden="true" customHeight="false" outlineLevel="0" collapsed="false">
      <c r="A252" s="24" t="s">
        <v>194</v>
      </c>
      <c r="B252" s="23" t="n">
        <v>44062</v>
      </c>
      <c r="C252" s="7" t="s">
        <v>93</v>
      </c>
      <c r="D252" s="24" t="str">
        <f aca="false">VLOOKUP(SALIDAS[[Código Producto ]],PRODUCTOS[],2,0)</f>
        <v>Longaniza Huachana x 350g</v>
      </c>
      <c r="E252" s="24" t="n">
        <v>1</v>
      </c>
      <c r="F252" s="17" t="n">
        <f aca="false">SALIDAS[[#This Row],[Cantidad ]]*0.35</f>
        <v>0.35</v>
      </c>
    </row>
    <row r="253" customFormat="false" ht="15.75" hidden="true" customHeight="false" outlineLevel="0" collapsed="false">
      <c r="A253" s="24" t="s">
        <v>194</v>
      </c>
      <c r="B253" s="23" t="n">
        <v>44062</v>
      </c>
      <c r="C253" s="11" t="s">
        <v>111</v>
      </c>
      <c r="D253" s="24" t="str">
        <f aca="false">VLOOKUP(SALIDAS[[Código Producto ]],PRODUCTOS[],2,0)</f>
        <v>Tocino Ahumado Natural x250g</v>
      </c>
      <c r="E253" s="24" t="n">
        <v>1</v>
      </c>
      <c r="F253" s="17" t="n">
        <f aca="false">SALIDAS[[#This Row],[Cantidad ]]*0.25</f>
        <v>0.25</v>
      </c>
    </row>
    <row r="254" customFormat="false" ht="15.75" hidden="true" customHeight="false" outlineLevel="0" collapsed="false">
      <c r="A254" s="24" t="s">
        <v>194</v>
      </c>
      <c r="B254" s="23" t="n">
        <v>44062</v>
      </c>
      <c r="C254" s="11" t="s">
        <v>89</v>
      </c>
      <c r="D254" s="24" t="str">
        <f aca="false">VLOOKUP(SALIDAS[[Código Producto ]],PRODUCTOS[],2,0)</f>
        <v>Lomo Ahumado x 300g</v>
      </c>
      <c r="E254" s="24" t="n">
        <v>1</v>
      </c>
      <c r="F254" s="17" t="n">
        <f aca="false">SALIDAS[[#This Row],[Cantidad ]]*0.3</f>
        <v>0.3</v>
      </c>
    </row>
    <row r="255" customFormat="false" ht="15.75" hidden="true" customHeight="false" outlineLevel="0" collapsed="false">
      <c r="A255" s="24" t="s">
        <v>195</v>
      </c>
      <c r="B255" s="23" t="n">
        <v>44062</v>
      </c>
      <c r="C255" s="7" t="s">
        <v>69</v>
      </c>
      <c r="D255" s="24" t="str">
        <f aca="false">VLOOKUP(SALIDAS[[Código Producto ]],PRODUCTOS[],2,0)</f>
        <v>Jamon del país artesanal 250g</v>
      </c>
      <c r="E255" s="24" t="n">
        <v>1</v>
      </c>
      <c r="F255" s="17" t="n">
        <f aca="false">SALIDAS[[#This Row],[Cantidad ]]*0.25</f>
        <v>0.25</v>
      </c>
    </row>
    <row r="256" customFormat="false" ht="15.75" hidden="true" customHeight="false" outlineLevel="0" collapsed="false">
      <c r="A256" s="24" t="s">
        <v>195</v>
      </c>
      <c r="B256" s="23" t="n">
        <v>44062</v>
      </c>
      <c r="C256" s="11" t="s">
        <v>117</v>
      </c>
      <c r="D256" s="24" t="str">
        <f aca="false">VLOOKUP(SALIDAS[[Código Producto ]],PRODUCTOS[],2,0)</f>
        <v>Tocino Ahumado Redondo  x 200g (ROJO)</v>
      </c>
      <c r="E256" s="24" t="n">
        <v>1</v>
      </c>
      <c r="F256" s="17" t="n">
        <f aca="false">SALIDAS[[#This Row],[Cantidad ]]*0.2</f>
        <v>0.2</v>
      </c>
    </row>
    <row r="257" customFormat="false" ht="15.75" hidden="true" customHeight="false" outlineLevel="0" collapsed="false">
      <c r="A257" s="24" t="s">
        <v>195</v>
      </c>
      <c r="B257" s="23" t="n">
        <v>44062</v>
      </c>
      <c r="C257" s="11" t="s">
        <v>87</v>
      </c>
      <c r="D257" s="24" t="str">
        <f aca="false">VLOOKUP(SALIDAS[[Código Producto ]],PRODUCTOS[],2,0)</f>
        <v>Lomo ahumado x 250g</v>
      </c>
      <c r="E257" s="24" t="n">
        <v>1</v>
      </c>
      <c r="F257" s="17" t="n">
        <f aca="false">SALIDAS[[#This Row],[Cantidad ]]*0.25</f>
        <v>0.25</v>
      </c>
    </row>
    <row r="258" customFormat="false" ht="15.75" hidden="true" customHeight="false" outlineLevel="0" collapsed="false">
      <c r="A258" s="24" t="s">
        <v>195</v>
      </c>
      <c r="B258" s="23" t="n">
        <v>44062</v>
      </c>
      <c r="C258" s="11" t="s">
        <v>103</v>
      </c>
      <c r="D258" s="24" t="str">
        <f aca="false">VLOOKUP(SALIDAS[[Código Producto ]],PRODUCTOS[],2,0)</f>
        <v>Solomillo x KILO </v>
      </c>
      <c r="E258" s="24" t="n">
        <v>0.34</v>
      </c>
      <c r="F258" s="17" t="n">
        <f aca="false">SALIDAS[[#This Row],[Cantidad ]]</f>
        <v>0.34</v>
      </c>
    </row>
    <row r="259" customFormat="false" ht="15.75" hidden="true" customHeight="false" outlineLevel="0" collapsed="false">
      <c r="A259" s="24" t="s">
        <v>195</v>
      </c>
      <c r="B259" s="23" t="n">
        <v>44062</v>
      </c>
      <c r="C259" s="11" t="s">
        <v>131</v>
      </c>
      <c r="D259" s="24" t="str">
        <f aca="false">VLOOKUP(SALIDAS[[Código Producto ]],PRODUCTOS[],2,0)</f>
        <v>Jamon tata x 250 gr</v>
      </c>
      <c r="E259" s="24" t="n">
        <v>1</v>
      </c>
      <c r="F259" s="17" t="n">
        <f aca="false">SALIDAS[[#This Row],[Cantidad ]]*0.25</f>
        <v>0.25</v>
      </c>
    </row>
    <row r="260" customFormat="false" ht="15.75" hidden="true" customHeight="false" outlineLevel="0" collapsed="false">
      <c r="A260" s="24" t="s">
        <v>195</v>
      </c>
      <c r="B260" s="23" t="n">
        <v>44062</v>
      </c>
      <c r="C260" s="11" t="s">
        <v>32</v>
      </c>
      <c r="D260" s="24" t="str">
        <f aca="false">VLOOKUP(SALIDAS[[Código Producto ]],PRODUCTOS[],2,0)</f>
        <v>Chorizo Sweet Spicy 400g</v>
      </c>
      <c r="E260" s="24" t="n">
        <v>1</v>
      </c>
      <c r="F260" s="17" t="n">
        <f aca="false">SALIDAS[[#This Row],[Cantidad ]]*0.4</f>
        <v>0.4</v>
      </c>
    </row>
    <row r="261" customFormat="false" ht="15.75" hidden="true" customHeight="false" outlineLevel="0" collapsed="false">
      <c r="A261" s="24" t="s">
        <v>195</v>
      </c>
      <c r="B261" s="23" t="n">
        <v>44062</v>
      </c>
      <c r="C261" s="11" t="s">
        <v>139</v>
      </c>
      <c r="D261" s="24" t="str">
        <f aca="false">VLOOKUP(SALIDAS[[Código Producto ]],PRODUCTOS[],2,0)</f>
        <v>Jamon La nonna x 250g</v>
      </c>
      <c r="E261" s="24" t="n">
        <v>1</v>
      </c>
      <c r="F261" s="17" t="n">
        <f aca="false">SALIDAS[[#This Row],[Cantidad ]]*0.25</f>
        <v>0.25</v>
      </c>
    </row>
    <row r="262" customFormat="false" ht="15.75" hidden="true" customHeight="false" outlineLevel="0" collapsed="false">
      <c r="A262" s="24" t="s">
        <v>195</v>
      </c>
      <c r="B262" s="23" t="n">
        <v>44062</v>
      </c>
      <c r="C262" s="7" t="s">
        <v>75</v>
      </c>
      <c r="D262" s="24" t="str">
        <f aca="false">VLOOKUP(SALIDAS[[Código Producto ]],PRODUCTOS[],2,0)</f>
        <v>Jamon Ingles x 250g</v>
      </c>
      <c r="E262" s="24" t="n">
        <v>1</v>
      </c>
      <c r="F262" s="17" t="n">
        <f aca="false">SALIDAS[[#This Row],[Cantidad ]]*0.25</f>
        <v>0.25</v>
      </c>
    </row>
    <row r="263" customFormat="false" ht="15.75" hidden="false" customHeight="false" outlineLevel="0" collapsed="false">
      <c r="A263" s="24" t="s">
        <v>196</v>
      </c>
      <c r="B263" s="23" t="n">
        <v>44062</v>
      </c>
      <c r="C263" s="7" t="s">
        <v>28</v>
      </c>
      <c r="D263" s="24" t="str">
        <f aca="false">VLOOKUP(SALIDAS[[Código Producto ]],PRODUCTOS[],2,0)</f>
        <v>Chorizo Oxford x 4 unidades 400g</v>
      </c>
      <c r="E263" s="24" t="n">
        <v>1</v>
      </c>
      <c r="F263" s="17" t="n">
        <f aca="false">SALIDAS[[#This Row],[Cantidad ]]*0.4</f>
        <v>0.4</v>
      </c>
    </row>
    <row r="264" customFormat="false" ht="15.75" hidden="false" customHeight="false" outlineLevel="0" collapsed="false">
      <c r="A264" s="24" t="s">
        <v>196</v>
      </c>
      <c r="B264" s="23" t="n">
        <v>44062</v>
      </c>
      <c r="C264" s="7" t="s">
        <v>30</v>
      </c>
      <c r="D264" s="24" t="str">
        <f aca="false">VLOOKUP(SALIDAS[[Código Producto ]],PRODUCTOS[],2,0)</f>
        <v>Chorizo Oxford x 6 unidades 600g</v>
      </c>
      <c r="E264" s="24" t="n">
        <v>1</v>
      </c>
      <c r="F264" s="17" t="n">
        <f aca="false">SALIDAS[[#This Row],[Cantidad ]]*0.6</f>
        <v>0.6</v>
      </c>
    </row>
    <row r="265" customFormat="false" ht="15.75" hidden="false" customHeight="false" outlineLevel="0" collapsed="false">
      <c r="A265" s="24" t="s">
        <v>196</v>
      </c>
      <c r="B265" s="23" t="n">
        <v>44062</v>
      </c>
      <c r="C265" s="7" t="s">
        <v>20</v>
      </c>
      <c r="D265" s="24" t="str">
        <f aca="false">VLOOKUP(SALIDAS[[Código Producto ]],PRODUCTOS[],2,0)</f>
        <v>Chorizo finas hierbas x 4 unidades 400g</v>
      </c>
      <c r="E265" s="24" t="n">
        <v>1</v>
      </c>
      <c r="F265" s="17" t="n">
        <f aca="false">SALIDAS[[#This Row],[Cantidad ]]*0.4</f>
        <v>0.4</v>
      </c>
    </row>
    <row r="266" customFormat="false" ht="15.75" hidden="false" customHeight="false" outlineLevel="0" collapsed="false">
      <c r="A266" s="24" t="s">
        <v>196</v>
      </c>
      <c r="B266" s="23" t="n">
        <v>44062</v>
      </c>
      <c r="C266" s="7" t="s">
        <v>22</v>
      </c>
      <c r="D266" s="24" t="str">
        <f aca="false">VLOOKUP(SALIDAS[[Código Producto ]],PRODUCTOS[],2,0)</f>
        <v>Chorizo finas hierbas x 6 unidades 600g</v>
      </c>
      <c r="E266" s="24" t="n">
        <v>1</v>
      </c>
      <c r="F266" s="17" t="n">
        <f aca="false">SALIDAS[[#This Row],[Cantidad ]]*0.6</f>
        <v>0.6</v>
      </c>
    </row>
    <row r="267" customFormat="false" ht="15.75" hidden="false" customHeight="false" outlineLevel="0" collapsed="false">
      <c r="A267" s="24" t="s">
        <v>196</v>
      </c>
      <c r="B267" s="23" t="n">
        <v>44062</v>
      </c>
      <c r="C267" s="11" t="s">
        <v>125</v>
      </c>
      <c r="D267" s="24" t="str">
        <f aca="false">VLOOKUP(SALIDAS[[Código Producto ]],PRODUCTOS[],2,0)</f>
        <v>Vienesa x 5 unidades X 250g</v>
      </c>
      <c r="E267" s="24" t="n">
        <v>4</v>
      </c>
      <c r="F267" s="17" t="n">
        <f aca="false">SALIDAS[[#This Row],[Cantidad ]]*0.25</f>
        <v>1</v>
      </c>
    </row>
    <row r="268" customFormat="false" ht="15.75" hidden="false" customHeight="false" outlineLevel="0" collapsed="false">
      <c r="A268" s="24" t="s">
        <v>196</v>
      </c>
      <c r="B268" s="23" t="n">
        <v>44062</v>
      </c>
      <c r="C268" s="11" t="s">
        <v>95</v>
      </c>
      <c r="D268" s="24" t="str">
        <f aca="false">VLOOKUP(SALIDAS[[Código Producto ]],PRODUCTOS[],2,0)</f>
        <v>Morcilla Cocktail x10</v>
      </c>
      <c r="E268" s="24" t="n">
        <v>2</v>
      </c>
      <c r="F268" s="17" t="n">
        <f aca="false">SALIDAS[[#This Row],[Cantidad ]]*0.25</f>
        <v>0.5</v>
      </c>
    </row>
    <row r="269" customFormat="false" ht="15.75" hidden="false" customHeight="false" outlineLevel="0" collapsed="false">
      <c r="A269" s="24" t="s">
        <v>196</v>
      </c>
      <c r="B269" s="23" t="n">
        <v>44062</v>
      </c>
      <c r="C269" s="11" t="s">
        <v>117</v>
      </c>
      <c r="D269" s="24" t="str">
        <f aca="false">VLOOKUP(SALIDAS[[Código Producto ]],PRODUCTOS[],2,0)</f>
        <v>Tocino Ahumado Redondo  x 200g (ROJO)</v>
      </c>
      <c r="E269" s="24" t="n">
        <v>1</v>
      </c>
      <c r="F269" s="17" t="n">
        <f aca="false">SALIDAS[[#This Row],[Cantidad ]]*0.2</f>
        <v>0.2</v>
      </c>
    </row>
    <row r="270" customFormat="false" ht="15.75" hidden="false" customHeight="false" outlineLevel="0" collapsed="false">
      <c r="A270" s="24" t="s">
        <v>196</v>
      </c>
      <c r="B270" s="23" t="n">
        <v>44062</v>
      </c>
      <c r="C270" s="11" t="s">
        <v>83</v>
      </c>
      <c r="D270" s="24" t="str">
        <f aca="false">VLOOKUP(SALIDAS[[Código Producto ]],PRODUCTOS[],2,0)</f>
        <v>Jamon Pizza x 500g</v>
      </c>
      <c r="E270" s="24" t="n">
        <v>1</v>
      </c>
      <c r="F270" s="17" t="n">
        <f aca="false">SALIDAS[[#This Row],[Cantidad ]]*0.5</f>
        <v>0.5</v>
      </c>
    </row>
    <row r="271" customFormat="false" ht="15.75" hidden="false" customHeight="false" outlineLevel="0" collapsed="false">
      <c r="A271" s="24" t="s">
        <v>196</v>
      </c>
      <c r="B271" s="23" t="n">
        <v>44062</v>
      </c>
      <c r="C271" s="7" t="s">
        <v>4</v>
      </c>
      <c r="D271" s="24" t="str">
        <f aca="false">VLOOKUP(SALIDAS[[Código Producto ]],PRODUCTOS[],2,0)</f>
        <v>Bondiola X 250G</v>
      </c>
      <c r="E271" s="24" t="n">
        <v>1</v>
      </c>
      <c r="F271" s="17" t="n">
        <f aca="false">SALIDAS[[#This Row],[Cantidad ]]*0.25</f>
        <v>0.25</v>
      </c>
    </row>
    <row r="272" customFormat="false" ht="15.75" hidden="false" customHeight="false" outlineLevel="0" collapsed="false">
      <c r="A272" s="24" t="s">
        <v>196</v>
      </c>
      <c r="B272" s="23" t="n">
        <v>44062</v>
      </c>
      <c r="C272" s="11" t="s">
        <v>131</v>
      </c>
      <c r="D272" s="24" t="str">
        <f aca="false">VLOOKUP(SALIDAS[[Código Producto ]],PRODUCTOS[],2,0)</f>
        <v>Jamon tata x 250 gr</v>
      </c>
      <c r="E272" s="24" t="n">
        <v>1</v>
      </c>
      <c r="F272" s="17" t="n">
        <f aca="false">SALIDAS[[#This Row],[Cantidad ]]*0.25</f>
        <v>0.25</v>
      </c>
    </row>
    <row r="273" customFormat="false" ht="15.75" hidden="false" customHeight="false" outlineLevel="0" collapsed="false">
      <c r="A273" s="24" t="s">
        <v>196</v>
      </c>
      <c r="B273" s="23" t="n">
        <v>44062</v>
      </c>
      <c r="C273" s="11" t="s">
        <v>32</v>
      </c>
      <c r="D273" s="24" t="str">
        <f aca="false">VLOOKUP(SALIDAS[[Código Producto ]],PRODUCTOS[],2,0)</f>
        <v>Chorizo Sweet Spicy 400g</v>
      </c>
      <c r="E273" s="24" t="n">
        <v>1</v>
      </c>
      <c r="F273" s="17" t="n">
        <f aca="false">SALIDAS[[#This Row],[Cantidad ]]*0.4</f>
        <v>0.4</v>
      </c>
    </row>
    <row r="274" customFormat="false" ht="15.75" hidden="false" customHeight="false" outlineLevel="0" collapsed="false">
      <c r="A274" s="24" t="s">
        <v>196</v>
      </c>
      <c r="B274" s="23" t="n">
        <v>44062</v>
      </c>
      <c r="C274" s="11" t="s">
        <v>139</v>
      </c>
      <c r="D274" s="24" t="str">
        <f aca="false">VLOOKUP(SALIDAS[[Código Producto ]],PRODUCTOS[],2,0)</f>
        <v>Jamon La nonna x 250g</v>
      </c>
      <c r="E274" s="24" t="n">
        <v>1</v>
      </c>
      <c r="F274" s="17" t="n">
        <f aca="false">SALIDAS[[#This Row],[Cantidad ]]*0.25</f>
        <v>0.25</v>
      </c>
    </row>
    <row r="275" customFormat="false" ht="15.75" hidden="false" customHeight="false" outlineLevel="0" collapsed="false">
      <c r="A275" s="24" t="s">
        <v>197</v>
      </c>
      <c r="B275" s="23" t="n">
        <v>44062</v>
      </c>
      <c r="C275" s="7" t="s">
        <v>28</v>
      </c>
      <c r="D275" s="24" t="str">
        <f aca="false">VLOOKUP(SALIDAS[[Código Producto ]],PRODUCTOS[],2,0)</f>
        <v>Chorizo Oxford x 4 unidades 400g</v>
      </c>
      <c r="E275" s="24" t="n">
        <v>10</v>
      </c>
      <c r="F275" s="17" t="n">
        <f aca="false">SALIDAS[[#This Row],[Cantidad ]]*0.4</f>
        <v>4</v>
      </c>
    </row>
    <row r="276" customFormat="false" ht="15.75" hidden="false" customHeight="false" outlineLevel="0" collapsed="false">
      <c r="A276" s="24" t="s">
        <v>197</v>
      </c>
      <c r="B276" s="23" t="n">
        <v>44062</v>
      </c>
      <c r="C276" s="7" t="s">
        <v>30</v>
      </c>
      <c r="D276" s="24" t="str">
        <f aca="false">VLOOKUP(SALIDAS[[Código Producto ]],PRODUCTOS[],2,0)</f>
        <v>Chorizo Oxford x 6 unidades 600g</v>
      </c>
      <c r="E276" s="24" t="n">
        <v>4</v>
      </c>
      <c r="F276" s="17" t="n">
        <f aca="false">SALIDAS[[#This Row],[Cantidad ]]*0.6</f>
        <v>2.4</v>
      </c>
    </row>
    <row r="277" customFormat="false" ht="15.75" hidden="false" customHeight="false" outlineLevel="0" collapsed="false">
      <c r="A277" s="24" t="s">
        <v>197</v>
      </c>
      <c r="B277" s="23" t="n">
        <v>44062</v>
      </c>
      <c r="C277" s="11" t="s">
        <v>47</v>
      </c>
      <c r="D277" s="24" t="str">
        <f aca="false">VLOOKUP(SALIDAS[[Código Producto ]],PRODUCTOS[],2,0)</f>
        <v>Frankfurter granel x 4 unidades 250g</v>
      </c>
      <c r="E277" s="24" t="n">
        <v>10</v>
      </c>
      <c r="F277" s="17" t="n">
        <f aca="false">SALIDAS[[#This Row],[Cantidad ]]*0.24</f>
        <v>2.4</v>
      </c>
    </row>
    <row r="278" customFormat="false" ht="15.75" hidden="false" customHeight="false" outlineLevel="0" collapsed="false">
      <c r="A278" s="24" t="s">
        <v>197</v>
      </c>
      <c r="B278" s="23" t="n">
        <v>44062</v>
      </c>
      <c r="C278" s="7" t="s">
        <v>41</v>
      </c>
      <c r="D278" s="24" t="str">
        <f aca="false">VLOOKUP(SALIDAS[[Código Producto ]],PRODUCTOS[],2,0)</f>
        <v>Frankfurter cocktail x 10 unidades x 250g</v>
      </c>
      <c r="E278" s="24" t="n">
        <v>3</v>
      </c>
      <c r="F278" s="17" t="n">
        <f aca="false">SALIDAS[[#This Row],[Cantidad ]]*0.25</f>
        <v>0.75</v>
      </c>
    </row>
    <row r="279" customFormat="false" ht="15.75" hidden="false" customHeight="false" outlineLevel="0" collapsed="false">
      <c r="A279" s="24" t="s">
        <v>197</v>
      </c>
      <c r="B279" s="23" t="n">
        <v>44062</v>
      </c>
      <c r="C279" s="11" t="s">
        <v>125</v>
      </c>
      <c r="D279" s="24" t="str">
        <f aca="false">VLOOKUP(SALIDAS[[Código Producto ]],PRODUCTOS[],2,0)</f>
        <v>Vienesa x 5 unidades X 250g</v>
      </c>
      <c r="E279" s="24" t="n">
        <v>5</v>
      </c>
      <c r="F279" s="17" t="n">
        <f aca="false">SALIDAS[[#This Row],[Cantidad ]]*0.25</f>
        <v>1.25</v>
      </c>
    </row>
    <row r="280" customFormat="false" ht="15.75" hidden="false" customHeight="false" outlineLevel="0" collapsed="false">
      <c r="A280" s="24" t="s">
        <v>197</v>
      </c>
      <c r="B280" s="23" t="n">
        <v>44062</v>
      </c>
      <c r="C280" s="11" t="s">
        <v>117</v>
      </c>
      <c r="D280" s="24" t="str">
        <f aca="false">VLOOKUP(SALIDAS[[Código Producto ]],PRODUCTOS[],2,0)</f>
        <v>Tocino Ahumado Redondo  x 200g (ROJO)</v>
      </c>
      <c r="E280" s="24" t="n">
        <v>4</v>
      </c>
      <c r="F280" s="17" t="n">
        <f aca="false">SALIDAS[[#This Row],[Cantidad ]]*0.2</f>
        <v>0.8</v>
      </c>
    </row>
    <row r="281" customFormat="false" ht="15.75" hidden="false" customHeight="false" outlineLevel="0" collapsed="false">
      <c r="A281" s="24" t="s">
        <v>197</v>
      </c>
      <c r="B281" s="23" t="n">
        <v>44062</v>
      </c>
      <c r="C281" s="7" t="s">
        <v>69</v>
      </c>
      <c r="D281" s="24" t="str">
        <f aca="false">VLOOKUP(SALIDAS[[Código Producto ]],PRODUCTOS[],2,0)</f>
        <v>Jamon del país artesanal 250g</v>
      </c>
      <c r="E281" s="24" t="n">
        <v>6</v>
      </c>
      <c r="F281" s="17" t="n">
        <f aca="false">SALIDAS[[#This Row],[Cantidad ]]*0.25</f>
        <v>1.5</v>
      </c>
    </row>
    <row r="282" customFormat="false" ht="15.75" hidden="false" customHeight="false" outlineLevel="0" collapsed="false">
      <c r="A282" s="24" t="s">
        <v>197</v>
      </c>
      <c r="B282" s="23" t="n">
        <v>44062</v>
      </c>
      <c r="C282" s="11" t="s">
        <v>83</v>
      </c>
      <c r="D282" s="24" t="str">
        <f aca="false">VLOOKUP(SALIDAS[[Código Producto ]],PRODUCTOS[],2,0)</f>
        <v>Jamon Pizza x 500g</v>
      </c>
      <c r="E282" s="24" t="n">
        <v>6</v>
      </c>
      <c r="F282" s="27" t="n">
        <f aca="false">SALIDAS[[#This Row],[Cantidad ]]*0.5</f>
        <v>3</v>
      </c>
    </row>
    <row r="283" customFormat="false" ht="15.75" hidden="false" customHeight="false" outlineLevel="0" collapsed="false">
      <c r="A283" s="24" t="s">
        <v>160</v>
      </c>
      <c r="B283" s="23" t="n">
        <v>44063</v>
      </c>
      <c r="C283" s="7" t="s">
        <v>79</v>
      </c>
      <c r="D283" s="24" t="str">
        <f aca="false">VLOOKUP(SALIDAS[[Código Producto ]],PRODUCTOS[],2,0)</f>
        <v>Jamon pizza  x 3.2 Kg (Entero)</v>
      </c>
      <c r="E283" s="24" t="n">
        <v>47.43</v>
      </c>
      <c r="F283" s="17" t="n">
        <f aca="false">SALIDAS[[#This Row],[Cantidad ]]</f>
        <v>47.43</v>
      </c>
    </row>
    <row r="284" customFormat="false" ht="15.75" hidden="false" customHeight="false" outlineLevel="0" collapsed="false">
      <c r="A284" s="24" t="s">
        <v>198</v>
      </c>
      <c r="B284" s="23" t="n">
        <v>44063</v>
      </c>
      <c r="C284" s="7" t="s">
        <v>65</v>
      </c>
      <c r="D284" s="24" t="str">
        <f aca="false">VLOOKUP(SALIDAS[[Código Producto ]],PRODUCTOS[],2,0)</f>
        <v>Jamon del paÍs (Entero) X Kilos </v>
      </c>
      <c r="E284" s="24" t="n">
        <v>18.54</v>
      </c>
      <c r="F284" s="17" t="n">
        <f aca="false">SALIDAS[[#This Row],[Cantidad ]]</f>
        <v>18.54</v>
      </c>
    </row>
    <row r="285" customFormat="false" ht="15.75" hidden="true" customHeight="false" outlineLevel="0" collapsed="false">
      <c r="A285" s="24" t="s">
        <v>199</v>
      </c>
      <c r="B285" s="23" t="n">
        <v>44063</v>
      </c>
      <c r="C285" s="7" t="s">
        <v>85</v>
      </c>
      <c r="D285" s="24" t="str">
        <f aca="false">VLOOKUP(SALIDAS[[Código Producto ]],PRODUCTOS[],2,0)</f>
        <v>Lomo Ahumado. </v>
      </c>
      <c r="E285" s="24" t="n">
        <v>2.565</v>
      </c>
      <c r="F285" s="17" t="n">
        <f aca="false">SALIDAS[[#This Row],[Cantidad ]]</f>
        <v>2.565</v>
      </c>
    </row>
    <row r="286" customFormat="false" ht="15.75" hidden="true" customHeight="false" outlineLevel="0" collapsed="false">
      <c r="A286" s="24" t="s">
        <v>199</v>
      </c>
      <c r="B286" s="23" t="n">
        <v>44063</v>
      </c>
      <c r="C286" s="11" t="s">
        <v>129</v>
      </c>
      <c r="D286" s="24" t="str">
        <f aca="false">VLOOKUP(SALIDAS[[Código Producto ]],PRODUCTOS[],2,0)</f>
        <v>Jamon tata entero</v>
      </c>
      <c r="E286" s="24" t="n">
        <v>2.575</v>
      </c>
      <c r="F286" s="0" t="n">
        <f aca="false">SALIDAS[[#This Row],[Cantidad ]]</f>
        <v>2.575</v>
      </c>
    </row>
    <row r="287" customFormat="false" ht="15.75" hidden="true" customHeight="false" outlineLevel="0" collapsed="false">
      <c r="A287" s="24" t="s">
        <v>199</v>
      </c>
      <c r="B287" s="23" t="n">
        <v>44063</v>
      </c>
      <c r="C287" s="11" t="s">
        <v>143</v>
      </c>
      <c r="D287" s="24" t="str">
        <f aca="false">VLOOKUP(SALIDAS[[Código Producto ]],PRODUCTOS[],2,0)</f>
        <v>Jamon la nonna entero</v>
      </c>
      <c r="E287" s="24" t="n">
        <v>2.325</v>
      </c>
      <c r="F287" s="0" t="n">
        <f aca="false">SALIDAS[[#This Row],[Cantidad ]]</f>
        <v>2.325</v>
      </c>
    </row>
    <row r="288" customFormat="false" ht="15.75" hidden="false" customHeight="false" outlineLevel="0" collapsed="false">
      <c r="A288" s="24" t="s">
        <v>167</v>
      </c>
      <c r="B288" s="23" t="n">
        <v>44063</v>
      </c>
      <c r="C288" s="7" t="s">
        <v>22</v>
      </c>
      <c r="D288" s="24" t="str">
        <f aca="false">VLOOKUP(SALIDAS[[Código Producto ]],PRODUCTOS[],2,0)</f>
        <v>Chorizo finas hierbas x 6 unidades 600g</v>
      </c>
      <c r="E288" s="24" t="n">
        <v>8</v>
      </c>
      <c r="F288" s="0" t="n">
        <f aca="false">SALIDAS[[#This Row],[Cantidad ]]*0.6</f>
        <v>4.8</v>
      </c>
    </row>
    <row r="289" customFormat="false" ht="15.75" hidden="false" customHeight="false" outlineLevel="0" collapsed="false">
      <c r="A289" s="24" t="s">
        <v>167</v>
      </c>
      <c r="B289" s="23" t="n">
        <v>44063</v>
      </c>
      <c r="C289" s="7" t="s">
        <v>14</v>
      </c>
      <c r="D289" s="24" t="str">
        <f aca="false">VLOOKUP(SALIDAS[[Código Producto ]],PRODUCTOS[],2,0)</f>
        <v>Chistorra Huachana x 6 unidades 150g</v>
      </c>
      <c r="E289" s="24" t="n">
        <v>10</v>
      </c>
      <c r="F289" s="0" t="n">
        <f aca="false">SALIDAS[[#This Row],[Cantidad ]]*0.15</f>
        <v>1.5</v>
      </c>
    </row>
    <row r="290" customFormat="false" ht="15.75" hidden="false" customHeight="false" outlineLevel="0" collapsed="false">
      <c r="A290" s="24" t="s">
        <v>167</v>
      </c>
      <c r="B290" s="23" t="n">
        <v>44063</v>
      </c>
      <c r="C290" s="7" t="s">
        <v>93</v>
      </c>
      <c r="D290" s="24" t="str">
        <f aca="false">VLOOKUP(SALIDAS[[Código Producto ]],PRODUCTOS[],2,0)</f>
        <v>Longaniza Huachana x 350g</v>
      </c>
      <c r="E290" s="24" t="n">
        <v>5</v>
      </c>
      <c r="F290" s="0" t="n">
        <f aca="false">SALIDAS[[#This Row],[Cantidad ]]*0.35</f>
        <v>1.75</v>
      </c>
    </row>
    <row r="291" customFormat="false" ht="15.75" hidden="false" customHeight="false" outlineLevel="0" collapsed="false">
      <c r="A291" s="24" t="s">
        <v>167</v>
      </c>
      <c r="B291" s="23" t="n">
        <v>44063</v>
      </c>
      <c r="C291" s="7" t="s">
        <v>77</v>
      </c>
      <c r="D291" s="24" t="str">
        <f aca="false">VLOOKUP(SALIDAS[[Código Producto ]],PRODUCTOS[],2,0)</f>
        <v>Jamon Ingles x 300g </v>
      </c>
      <c r="E291" s="24" t="n">
        <v>10</v>
      </c>
      <c r="F291" s="0" t="n">
        <f aca="false">SALIDAS[[#This Row],[Cantidad ]]*0.3</f>
        <v>3</v>
      </c>
    </row>
    <row r="292" customFormat="false" ht="15.75" hidden="false" customHeight="false" outlineLevel="0" collapsed="false">
      <c r="A292" s="24" t="s">
        <v>167</v>
      </c>
      <c r="B292" s="23" t="n">
        <v>44063</v>
      </c>
      <c r="C292" s="7" t="s">
        <v>69</v>
      </c>
      <c r="D292" s="24" t="str">
        <f aca="false">VLOOKUP(SALIDAS[[Código Producto ]],PRODUCTOS[],2,0)</f>
        <v>Jamon del país artesanal 250g</v>
      </c>
      <c r="E292" s="24" t="n">
        <v>10</v>
      </c>
      <c r="F292" s="0" t="n">
        <f aca="false">SALIDAS[[#This Row],[Cantidad ]]*0.25</f>
        <v>2.5</v>
      </c>
    </row>
    <row r="293" customFormat="false" ht="15.75" hidden="true" customHeight="false" outlineLevel="0" collapsed="false">
      <c r="A293" s="24" t="s">
        <v>200</v>
      </c>
      <c r="B293" s="23" t="n">
        <v>44063</v>
      </c>
      <c r="C293" s="7" t="s">
        <v>20</v>
      </c>
      <c r="D293" s="24" t="str">
        <f aca="false">VLOOKUP(SALIDAS[[Código Producto ]],PRODUCTOS[],2,0)</f>
        <v>Chorizo finas hierbas x 4 unidades 400g</v>
      </c>
      <c r="E293" s="24" t="n">
        <v>7</v>
      </c>
      <c r="F293" s="0" t="n">
        <f aca="false">SALIDAS[[#This Row],[Cantidad ]]*0.4</f>
        <v>2.8</v>
      </c>
    </row>
    <row r="294" customFormat="false" ht="15.75" hidden="true" customHeight="false" outlineLevel="0" collapsed="false">
      <c r="A294" s="24" t="s">
        <v>200</v>
      </c>
      <c r="B294" s="23" t="n">
        <v>44063</v>
      </c>
      <c r="C294" s="11" t="s">
        <v>83</v>
      </c>
      <c r="D294" s="24" t="str">
        <f aca="false">VLOOKUP(SALIDAS[[Código Producto ]],PRODUCTOS[],2,0)</f>
        <v>Jamon Pizza x 500g</v>
      </c>
      <c r="E294" s="24" t="n">
        <v>5</v>
      </c>
      <c r="F294" s="0" t="n">
        <f aca="false">SALIDAS[[#This Row],[Cantidad ]]*0.5</f>
        <v>2.5</v>
      </c>
    </row>
    <row r="295" customFormat="false" ht="15.75" hidden="true" customHeight="false" outlineLevel="0" collapsed="false">
      <c r="A295" s="24" t="s">
        <v>201</v>
      </c>
      <c r="B295" s="23" t="n">
        <v>44063</v>
      </c>
      <c r="C295" s="7" t="s">
        <v>77</v>
      </c>
      <c r="D295" s="24" t="str">
        <f aca="false">VLOOKUP(SALIDAS[[Código Producto ]],PRODUCTOS[],2,0)</f>
        <v>Jamon Ingles x 300g </v>
      </c>
      <c r="E295" s="24" t="n">
        <v>1</v>
      </c>
      <c r="F295" s="0" t="n">
        <f aca="false">SALIDAS[[#This Row],[Cantidad ]]*0.3</f>
        <v>0.3</v>
      </c>
    </row>
    <row r="296" customFormat="false" ht="15.75" hidden="true" customHeight="false" outlineLevel="0" collapsed="false">
      <c r="A296" s="24" t="s">
        <v>201</v>
      </c>
      <c r="B296" s="23" t="n">
        <v>44063</v>
      </c>
      <c r="C296" s="11" t="s">
        <v>131</v>
      </c>
      <c r="D296" s="24" t="str">
        <f aca="false">VLOOKUP(SALIDAS[[Código Producto ]],PRODUCTOS[],2,0)</f>
        <v>Jamon tata x 250 gr</v>
      </c>
      <c r="E296" s="24" t="n">
        <v>1</v>
      </c>
      <c r="F296" s="0" t="n">
        <f aca="false">SALIDAS[[#This Row],[Cantidad ]]*0.25</f>
        <v>0.25</v>
      </c>
    </row>
    <row r="297" customFormat="false" ht="15.75" hidden="true" customHeight="false" outlineLevel="0" collapsed="false">
      <c r="A297" s="24" t="s">
        <v>201</v>
      </c>
      <c r="B297" s="23" t="n">
        <v>44063</v>
      </c>
      <c r="C297" s="11" t="s">
        <v>139</v>
      </c>
      <c r="D297" s="24" t="str">
        <f aca="false">VLOOKUP(SALIDAS[[Código Producto ]],PRODUCTOS[],2,0)</f>
        <v>Jamon La nonna x 250g</v>
      </c>
      <c r="E297" s="24" t="n">
        <v>1</v>
      </c>
      <c r="F297" s="0" t="n">
        <f aca="false">SALIDAS[[#This Row],[Cantidad ]]*0.25</f>
        <v>0.25</v>
      </c>
    </row>
    <row r="298" customFormat="false" ht="15.75" hidden="true" customHeight="false" outlineLevel="0" collapsed="false">
      <c r="A298" s="24" t="s">
        <v>201</v>
      </c>
      <c r="B298" s="23" t="n">
        <v>44063</v>
      </c>
      <c r="C298" s="11" t="s">
        <v>143</v>
      </c>
      <c r="D298" s="24" t="str">
        <f aca="false">VLOOKUP(SALIDAS[[Código Producto ]],PRODUCTOS[],2,0)</f>
        <v>Jamon la nonna entero</v>
      </c>
      <c r="E298" s="24" t="n">
        <v>2.325</v>
      </c>
      <c r="F298" s="0" t="n">
        <f aca="false">SALIDAS[[#This Row],[Cantidad ]]</f>
        <v>2.325</v>
      </c>
    </row>
    <row r="299" customFormat="false" ht="15.75" hidden="true" customHeight="false" outlineLevel="0" collapsed="false">
      <c r="A299" s="24" t="s">
        <v>201</v>
      </c>
      <c r="B299" s="23" t="n">
        <v>44063</v>
      </c>
      <c r="C299" s="7" t="s">
        <v>69</v>
      </c>
      <c r="D299" s="24" t="str">
        <f aca="false">VLOOKUP(SALIDAS[[Código Producto ]],PRODUCTOS[],2,0)</f>
        <v>Jamon del país artesanal 250g</v>
      </c>
      <c r="E299" s="24" t="n">
        <v>1</v>
      </c>
      <c r="F299" s="0" t="n">
        <f aca="false">SALIDAS[[#This Row],[Cantidad ]]*0.25</f>
        <v>0.25</v>
      </c>
    </row>
    <row r="300" customFormat="false" ht="15.75" hidden="true" customHeight="false" outlineLevel="0" collapsed="false">
      <c r="A300" s="24" t="s">
        <v>201</v>
      </c>
      <c r="B300" s="23" t="n">
        <v>44063</v>
      </c>
      <c r="C300" s="7" t="s">
        <v>14</v>
      </c>
      <c r="D300" s="24" t="str">
        <f aca="false">VLOOKUP(SALIDAS[[Código Producto ]],PRODUCTOS[],2,0)</f>
        <v>Chistorra Huachana x 6 unidades 150g</v>
      </c>
      <c r="E300" s="24" t="n">
        <v>1</v>
      </c>
      <c r="F300" s="0" t="n">
        <f aca="false">SALIDAS[[#This Row],[Cantidad ]]*0.15</f>
        <v>0.15</v>
      </c>
    </row>
    <row r="301" customFormat="false" ht="15.75" hidden="true" customHeight="false" outlineLevel="0" collapsed="false">
      <c r="A301" s="24" t="s">
        <v>201</v>
      </c>
      <c r="B301" s="23" t="n">
        <v>44063</v>
      </c>
      <c r="C301" s="11" t="s">
        <v>47</v>
      </c>
      <c r="D301" s="24" t="str">
        <f aca="false">VLOOKUP(SALIDAS[[Código Producto ]],PRODUCTOS[],2,0)</f>
        <v>Frankfurter granel x 4 unidades 250g</v>
      </c>
      <c r="E301" s="24" t="n">
        <v>1</v>
      </c>
      <c r="F301" s="0" t="n">
        <f aca="false">SALIDAS[[#This Row],[Cantidad ]]*0.24</f>
        <v>0.24</v>
      </c>
    </row>
    <row r="302" customFormat="false" ht="15.75" hidden="true" customHeight="false" outlineLevel="0" collapsed="false">
      <c r="A302" s="24" t="s">
        <v>201</v>
      </c>
      <c r="B302" s="23" t="n">
        <v>44063</v>
      </c>
      <c r="C302" s="7" t="s">
        <v>41</v>
      </c>
      <c r="D302" s="24" t="str">
        <f aca="false">VLOOKUP(SALIDAS[[Código Producto ]],PRODUCTOS[],2,0)</f>
        <v>Frankfurter cocktail x 10 unidades x 250g</v>
      </c>
      <c r="E302" s="24" t="n">
        <v>1</v>
      </c>
      <c r="F302" s="0" t="n">
        <f aca="false">SALIDAS[[#This Row],[Cantidad ]]*0.25</f>
        <v>0.25</v>
      </c>
    </row>
    <row r="303" customFormat="false" ht="15.75" hidden="true" customHeight="false" outlineLevel="0" collapsed="false">
      <c r="A303" s="24" t="s">
        <v>201</v>
      </c>
      <c r="B303" s="23" t="n">
        <v>44063</v>
      </c>
      <c r="C303" s="7" t="s">
        <v>49</v>
      </c>
      <c r="D303" s="24" t="str">
        <f aca="false">VLOOKUP(SALIDAS[[Código Producto ]],PRODUCTOS[],2,0)</f>
        <v>Frankfurter municipal x 3 unidades </v>
      </c>
      <c r="E303" s="24" t="n">
        <v>1</v>
      </c>
      <c r="F303" s="0" t="n">
        <f aca="false">SALIDAS[[#This Row],[Cantidad ]]*0.45</f>
        <v>0.45</v>
      </c>
    </row>
    <row r="304" customFormat="false" ht="15.75" hidden="true" customHeight="false" outlineLevel="0" collapsed="false">
      <c r="A304" s="24" t="s">
        <v>201</v>
      </c>
      <c r="B304" s="23" t="n">
        <v>44063</v>
      </c>
      <c r="C304" s="7" t="s">
        <v>20</v>
      </c>
      <c r="D304" s="24" t="str">
        <f aca="false">VLOOKUP(SALIDAS[[Código Producto ]],PRODUCTOS[],2,0)</f>
        <v>Chorizo finas hierbas x 4 unidades 400g</v>
      </c>
      <c r="E304" s="24" t="n">
        <v>1</v>
      </c>
      <c r="F304" s="0" t="n">
        <f aca="false">SALIDAS[[#This Row],[Cantidad ]]*0.4</f>
        <v>0.4</v>
      </c>
    </row>
    <row r="305" customFormat="false" ht="15.75" hidden="true" customHeight="false" outlineLevel="0" collapsed="false">
      <c r="A305" s="24" t="s">
        <v>201</v>
      </c>
      <c r="B305" s="23" t="n">
        <v>44063</v>
      </c>
      <c r="C305" s="7" t="s">
        <v>28</v>
      </c>
      <c r="D305" s="24" t="str">
        <f aca="false">VLOOKUP(SALIDAS[[Código Producto ]],PRODUCTOS[],2,0)</f>
        <v>Chorizo Oxford x 4 unidades 400g</v>
      </c>
      <c r="E305" s="24" t="n">
        <v>1</v>
      </c>
      <c r="F305" s="0" t="n">
        <f aca="false">SALIDAS[[#This Row],[Cantidad ]]*0.4</f>
        <v>0.4</v>
      </c>
    </row>
    <row r="306" customFormat="false" ht="15.75" hidden="true" customHeight="false" outlineLevel="0" collapsed="false">
      <c r="A306" s="24" t="s">
        <v>201</v>
      </c>
      <c r="B306" s="23" t="n">
        <v>44063</v>
      </c>
      <c r="C306" s="7" t="s">
        <v>26</v>
      </c>
      <c r="D306" s="24" t="str">
        <f aca="false">VLOOKUP(SALIDAS[[Código Producto ]],PRODUCTOS[],2,0)</f>
        <v>Chorizo Oxford x 10 unidades 250g</v>
      </c>
      <c r="E306" s="24" t="n">
        <v>1</v>
      </c>
      <c r="F306" s="0" t="n">
        <f aca="false">SALIDAS[[#This Row],[Cantidad ]]*0.25</f>
        <v>0.25</v>
      </c>
    </row>
    <row r="307" customFormat="false" ht="15.75" hidden="true" customHeight="false" outlineLevel="0" collapsed="false">
      <c r="A307" s="24" t="s">
        <v>201</v>
      </c>
      <c r="B307" s="23" t="n">
        <v>44063</v>
      </c>
      <c r="C307" s="11" t="s">
        <v>117</v>
      </c>
      <c r="D307" s="24" t="str">
        <f aca="false">VLOOKUP(SALIDAS[[Código Producto ]],PRODUCTOS[],2,0)</f>
        <v>Tocino Ahumado Redondo  x 200g (ROJO)</v>
      </c>
      <c r="E307" s="24" t="n">
        <v>1</v>
      </c>
      <c r="F307" s="0" t="n">
        <f aca="false">SALIDAS[[#This Row],[Cantidad ]]*0.2</f>
        <v>0.2</v>
      </c>
    </row>
    <row r="308" customFormat="false" ht="15.75" hidden="true" customHeight="false" outlineLevel="0" collapsed="false">
      <c r="A308" s="24" t="s">
        <v>201</v>
      </c>
      <c r="B308" s="23" t="n">
        <v>44063</v>
      </c>
      <c r="C308" s="11" t="s">
        <v>111</v>
      </c>
      <c r="D308" s="24" t="str">
        <f aca="false">VLOOKUP(SALIDAS[[Código Producto ]],PRODUCTOS[],2,0)</f>
        <v>Tocino Ahumado Natural x250g</v>
      </c>
      <c r="E308" s="24" t="n">
        <v>1</v>
      </c>
      <c r="F308" s="0" t="n">
        <f aca="false">SALIDAS[[#This Row],[Cantidad ]]*0.25</f>
        <v>0.25</v>
      </c>
    </row>
    <row r="309" customFormat="false" ht="15.75" hidden="true" customHeight="false" outlineLevel="0" collapsed="false">
      <c r="A309" s="24" t="s">
        <v>201</v>
      </c>
      <c r="B309" s="23" t="n">
        <v>44063</v>
      </c>
      <c r="C309" s="11" t="s">
        <v>95</v>
      </c>
      <c r="D309" s="24" t="str">
        <f aca="false">VLOOKUP(SALIDAS[[Código Producto ]],PRODUCTOS[],2,0)</f>
        <v>Morcilla Cocktail x10</v>
      </c>
      <c r="E309" s="24" t="n">
        <v>1</v>
      </c>
      <c r="F309" s="0" t="n">
        <f aca="false">SALIDAS[[#This Row],[Cantidad ]]*0.25</f>
        <v>0.25</v>
      </c>
    </row>
    <row r="310" customFormat="false" ht="15.75" hidden="true" customHeight="false" outlineLevel="0" collapsed="false">
      <c r="A310" s="24" t="s">
        <v>201</v>
      </c>
      <c r="B310" s="23" t="n">
        <v>44063</v>
      </c>
      <c r="C310" s="11" t="s">
        <v>125</v>
      </c>
      <c r="D310" s="24" t="str">
        <f aca="false">VLOOKUP(SALIDAS[[Código Producto ]],PRODUCTOS[],2,0)</f>
        <v>Vienesa x 5 unidades X 250g</v>
      </c>
      <c r="E310" s="24" t="n">
        <v>1</v>
      </c>
      <c r="F310" s="0" t="n">
        <f aca="false">SALIDAS[[#This Row],[Cantidad ]]*0.25</f>
        <v>0.25</v>
      </c>
    </row>
    <row r="311" customFormat="false" ht="15.75" hidden="true" customHeight="false" outlineLevel="0" collapsed="false">
      <c r="A311" s="24" t="s">
        <v>202</v>
      </c>
      <c r="B311" s="23" t="n">
        <v>44063</v>
      </c>
      <c r="C311" s="7" t="s">
        <v>77</v>
      </c>
      <c r="D311" s="24" t="str">
        <f aca="false">VLOOKUP(SALIDAS[[Código Producto ]],PRODUCTOS[],2,0)</f>
        <v>Jamon Ingles x 300g </v>
      </c>
      <c r="E311" s="24" t="n">
        <v>1</v>
      </c>
      <c r="F311" s="0" t="n">
        <f aca="false">SALIDAS[[#This Row],[Cantidad ]]*0.3</f>
        <v>0.3</v>
      </c>
    </row>
    <row r="312" customFormat="false" ht="15.75" hidden="true" customHeight="false" outlineLevel="0" collapsed="false">
      <c r="A312" s="24" t="s">
        <v>202</v>
      </c>
      <c r="B312" s="23" t="n">
        <v>44063</v>
      </c>
      <c r="C312" s="11" t="s">
        <v>131</v>
      </c>
      <c r="D312" s="24" t="str">
        <f aca="false">VLOOKUP(SALIDAS[[Código Producto ]],PRODUCTOS[],2,0)</f>
        <v>Jamon tata x 250 gr</v>
      </c>
      <c r="E312" s="24" t="n">
        <v>1</v>
      </c>
      <c r="F312" s="0" t="n">
        <f aca="false">SALIDAS[[#This Row],[Cantidad ]]*0.25</f>
        <v>0.25</v>
      </c>
    </row>
    <row r="313" customFormat="false" ht="15.75" hidden="true" customHeight="false" outlineLevel="0" collapsed="false">
      <c r="A313" s="24" t="s">
        <v>202</v>
      </c>
      <c r="B313" s="23" t="n">
        <v>44063</v>
      </c>
      <c r="C313" s="11" t="s">
        <v>139</v>
      </c>
      <c r="D313" s="24" t="str">
        <f aca="false">VLOOKUP(SALIDAS[[Código Producto ]],PRODUCTOS[],2,0)</f>
        <v>Jamon La nonna x 250g</v>
      </c>
      <c r="E313" s="24" t="n">
        <v>1</v>
      </c>
      <c r="F313" s="0" t="n">
        <f aca="false">SALIDAS[[#This Row],[Cantidad ]]*0.25</f>
        <v>0.25</v>
      </c>
    </row>
    <row r="314" customFormat="false" ht="15.75" hidden="true" customHeight="false" outlineLevel="0" collapsed="false">
      <c r="A314" s="24" t="s">
        <v>202</v>
      </c>
      <c r="B314" s="23" t="n">
        <v>44063</v>
      </c>
      <c r="C314" s="7" t="s">
        <v>69</v>
      </c>
      <c r="D314" s="24" t="str">
        <f aca="false">VLOOKUP(SALIDAS[[Código Producto ]],PRODUCTOS[],2,0)</f>
        <v>Jamon del país artesanal 250g</v>
      </c>
      <c r="E314" s="24" t="n">
        <v>1</v>
      </c>
      <c r="F314" s="0" t="n">
        <f aca="false">SALIDAS[[#This Row],[Cantidad ]]*0.25</f>
        <v>0.25</v>
      </c>
    </row>
    <row r="315" customFormat="false" ht="15.75" hidden="true" customHeight="false" outlineLevel="0" collapsed="false">
      <c r="A315" s="24" t="s">
        <v>202</v>
      </c>
      <c r="B315" s="23" t="n">
        <v>44063</v>
      </c>
      <c r="C315" s="7" t="s">
        <v>14</v>
      </c>
      <c r="D315" s="24" t="str">
        <f aca="false">VLOOKUP(SALIDAS[[Código Producto ]],PRODUCTOS[],2,0)</f>
        <v>Chistorra Huachana x 6 unidades 150g</v>
      </c>
      <c r="E315" s="24" t="n">
        <v>1</v>
      </c>
      <c r="F315" s="0" t="n">
        <f aca="false">SALIDAS[[#This Row],[Cantidad ]]*0.15</f>
        <v>0.15</v>
      </c>
    </row>
    <row r="316" customFormat="false" ht="15.75" hidden="true" customHeight="false" outlineLevel="0" collapsed="false">
      <c r="A316" s="24" t="s">
        <v>202</v>
      </c>
      <c r="B316" s="23" t="n">
        <v>44063</v>
      </c>
      <c r="C316" s="11" t="s">
        <v>47</v>
      </c>
      <c r="D316" s="24" t="str">
        <f aca="false">VLOOKUP(SALIDAS[[Código Producto ]],PRODUCTOS[],2,0)</f>
        <v>Frankfurter granel x 4 unidades 250g</v>
      </c>
      <c r="E316" s="24" t="n">
        <v>1</v>
      </c>
      <c r="F316" s="0" t="n">
        <f aca="false">SALIDAS[[#This Row],[Cantidad ]]*0.24</f>
        <v>0.24</v>
      </c>
    </row>
    <row r="317" customFormat="false" ht="15.75" hidden="true" customHeight="false" outlineLevel="0" collapsed="false">
      <c r="A317" s="24" t="s">
        <v>202</v>
      </c>
      <c r="B317" s="23" t="n">
        <v>44063</v>
      </c>
      <c r="C317" s="7" t="s">
        <v>41</v>
      </c>
      <c r="D317" s="24" t="str">
        <f aca="false">VLOOKUP(SALIDAS[[Código Producto ]],PRODUCTOS[],2,0)</f>
        <v>Frankfurter cocktail x 10 unidades x 250g</v>
      </c>
      <c r="E317" s="24" t="n">
        <v>1</v>
      </c>
      <c r="F317" s="0" t="n">
        <f aca="false">SALIDAS[[#This Row],[Cantidad ]]*0.25</f>
        <v>0.25</v>
      </c>
    </row>
    <row r="318" customFormat="false" ht="15.75" hidden="true" customHeight="false" outlineLevel="0" collapsed="false">
      <c r="A318" s="24" t="s">
        <v>202</v>
      </c>
      <c r="B318" s="23" t="n">
        <v>44063</v>
      </c>
      <c r="C318" s="7" t="s">
        <v>49</v>
      </c>
      <c r="D318" s="24" t="str">
        <f aca="false">VLOOKUP(SALIDAS[[Código Producto ]],PRODUCTOS[],2,0)</f>
        <v>Frankfurter municipal x 3 unidades </v>
      </c>
      <c r="E318" s="24" t="n">
        <v>1</v>
      </c>
      <c r="F318" s="0" t="n">
        <f aca="false">SALIDAS[[#This Row],[Cantidad ]]*0.45</f>
        <v>0.45</v>
      </c>
    </row>
    <row r="319" customFormat="false" ht="15.75" hidden="true" customHeight="false" outlineLevel="0" collapsed="false">
      <c r="A319" s="24" t="s">
        <v>202</v>
      </c>
      <c r="B319" s="23" t="n">
        <v>44063</v>
      </c>
      <c r="C319" s="7" t="s">
        <v>20</v>
      </c>
      <c r="D319" s="24" t="str">
        <f aca="false">VLOOKUP(SALIDAS[[Código Producto ]],PRODUCTOS[],2,0)</f>
        <v>Chorizo finas hierbas x 4 unidades 400g</v>
      </c>
      <c r="E319" s="24" t="n">
        <v>1</v>
      </c>
      <c r="F319" s="0" t="n">
        <f aca="false">SALIDAS[[#This Row],[Cantidad ]]*0.4</f>
        <v>0.4</v>
      </c>
    </row>
    <row r="320" customFormat="false" ht="15.75" hidden="true" customHeight="false" outlineLevel="0" collapsed="false">
      <c r="A320" s="24" t="s">
        <v>202</v>
      </c>
      <c r="B320" s="23" t="n">
        <v>44063</v>
      </c>
      <c r="C320" s="7" t="s">
        <v>28</v>
      </c>
      <c r="D320" s="24" t="str">
        <f aca="false">VLOOKUP(SALIDAS[[Código Producto ]],PRODUCTOS[],2,0)</f>
        <v>Chorizo Oxford x 4 unidades 400g</v>
      </c>
      <c r="E320" s="24" t="n">
        <v>1</v>
      </c>
      <c r="F320" s="0" t="n">
        <f aca="false">SALIDAS[[#This Row],[Cantidad ]]*0.4</f>
        <v>0.4</v>
      </c>
    </row>
    <row r="321" customFormat="false" ht="15.75" hidden="true" customHeight="false" outlineLevel="0" collapsed="false">
      <c r="A321" s="24" t="s">
        <v>202</v>
      </c>
      <c r="B321" s="23" t="n">
        <v>44063</v>
      </c>
      <c r="C321" s="7" t="s">
        <v>26</v>
      </c>
      <c r="D321" s="24" t="str">
        <f aca="false">VLOOKUP(SALIDAS[[Código Producto ]],PRODUCTOS[],2,0)</f>
        <v>Chorizo Oxford x 10 unidades 250g</v>
      </c>
      <c r="E321" s="24" t="n">
        <v>1</v>
      </c>
      <c r="F321" s="0" t="n">
        <f aca="false">SALIDAS[[#This Row],[Cantidad ]]*0.25</f>
        <v>0.25</v>
      </c>
    </row>
    <row r="322" customFormat="false" ht="15.75" hidden="true" customHeight="false" outlineLevel="0" collapsed="false">
      <c r="A322" s="24" t="s">
        <v>202</v>
      </c>
      <c r="B322" s="23" t="n">
        <v>44063</v>
      </c>
      <c r="C322" s="11" t="s">
        <v>117</v>
      </c>
      <c r="D322" s="24" t="str">
        <f aca="false">VLOOKUP(SALIDAS[[Código Producto ]],PRODUCTOS[],2,0)</f>
        <v>Tocino Ahumado Redondo  x 200g (ROJO)</v>
      </c>
      <c r="E322" s="24" t="n">
        <v>1</v>
      </c>
      <c r="F322" s="0" t="n">
        <f aca="false">SALIDAS[[#This Row],[Cantidad ]]*0.2</f>
        <v>0.2</v>
      </c>
    </row>
    <row r="323" customFormat="false" ht="15.75" hidden="true" customHeight="false" outlineLevel="0" collapsed="false">
      <c r="A323" s="24" t="s">
        <v>202</v>
      </c>
      <c r="B323" s="23" t="n">
        <v>44063</v>
      </c>
      <c r="C323" s="11" t="s">
        <v>111</v>
      </c>
      <c r="D323" s="24" t="str">
        <f aca="false">VLOOKUP(SALIDAS[[Código Producto ]],PRODUCTOS[],2,0)</f>
        <v>Tocino Ahumado Natural x250g</v>
      </c>
      <c r="E323" s="24" t="n">
        <v>1</v>
      </c>
      <c r="F323" s="0" t="n">
        <f aca="false">SALIDAS[[#This Row],[Cantidad ]]*0.25</f>
        <v>0.25</v>
      </c>
    </row>
    <row r="324" customFormat="false" ht="15.75" hidden="true" customHeight="false" outlineLevel="0" collapsed="false">
      <c r="A324" s="24" t="s">
        <v>202</v>
      </c>
      <c r="B324" s="23" t="n">
        <v>44063</v>
      </c>
      <c r="C324" s="11" t="s">
        <v>95</v>
      </c>
      <c r="D324" s="24" t="str">
        <f aca="false">VLOOKUP(SALIDAS[[Código Producto ]],PRODUCTOS[],2,0)</f>
        <v>Morcilla Cocktail x10</v>
      </c>
      <c r="E324" s="24" t="n">
        <v>1</v>
      </c>
      <c r="F324" s="0" t="n">
        <f aca="false">SALIDAS[[#This Row],[Cantidad ]]*0.25</f>
        <v>0.25</v>
      </c>
    </row>
    <row r="325" customFormat="false" ht="15.75" hidden="true" customHeight="false" outlineLevel="0" collapsed="false">
      <c r="A325" s="24" t="s">
        <v>202</v>
      </c>
      <c r="B325" s="23" t="n">
        <v>44063</v>
      </c>
      <c r="C325" s="11" t="s">
        <v>125</v>
      </c>
      <c r="D325" s="24" t="str">
        <f aca="false">VLOOKUP(SALIDAS[[Código Producto ]],PRODUCTOS[],2,0)</f>
        <v>Vienesa x 5 unidades X 250g</v>
      </c>
      <c r="E325" s="24" t="n">
        <v>1</v>
      </c>
      <c r="F325" s="0" t="n">
        <f aca="false">SALIDAS[[#This Row],[Cantidad ]]*0.25</f>
        <v>0.25</v>
      </c>
    </row>
    <row r="326" customFormat="false" ht="15.75" hidden="false" customHeight="false" outlineLevel="0" collapsed="false">
      <c r="A326" s="24" t="s">
        <v>203</v>
      </c>
      <c r="B326" s="23" t="n">
        <v>44063</v>
      </c>
      <c r="C326" s="7" t="s">
        <v>30</v>
      </c>
      <c r="D326" s="24" t="str">
        <f aca="false">VLOOKUP(SALIDAS[[Código Producto ]],PRODUCTOS[],2,0)</f>
        <v>Chorizo Oxford x 6 unidades 600g</v>
      </c>
      <c r="E326" s="24" t="n">
        <v>5</v>
      </c>
      <c r="F326" s="0" t="n">
        <f aca="false">SALIDAS[[#This Row],[Cantidad ]]*0.6</f>
        <v>3</v>
      </c>
    </row>
    <row r="327" customFormat="false" ht="15.75" hidden="false" customHeight="false" outlineLevel="0" collapsed="false">
      <c r="A327" s="24" t="s">
        <v>203</v>
      </c>
      <c r="B327" s="23" t="n">
        <v>44063</v>
      </c>
      <c r="C327" s="11" t="s">
        <v>117</v>
      </c>
      <c r="D327" s="24" t="str">
        <f aca="false">VLOOKUP(SALIDAS[[Código Producto ]],PRODUCTOS[],2,0)</f>
        <v>Tocino Ahumado Redondo  x 200g (ROJO)</v>
      </c>
      <c r="E327" s="24" t="n">
        <v>1</v>
      </c>
      <c r="F327" s="0" t="n">
        <f aca="false">SALIDAS[[#This Row],[Cantidad ]]*0.2</f>
        <v>0.2</v>
      </c>
    </row>
    <row r="328" customFormat="false" ht="15.75" hidden="false" customHeight="false" outlineLevel="0" collapsed="false">
      <c r="A328" s="24" t="s">
        <v>203</v>
      </c>
      <c r="B328" s="23" t="n">
        <v>44063</v>
      </c>
      <c r="C328" s="11" t="s">
        <v>87</v>
      </c>
      <c r="D328" s="24" t="str">
        <f aca="false">VLOOKUP(SALIDAS[[Código Producto ]],PRODUCTOS[],2,0)</f>
        <v>Lomo ahumado x 250g</v>
      </c>
      <c r="E328" s="24" t="n">
        <v>1</v>
      </c>
      <c r="F328" s="0" t="n">
        <f aca="false">SALIDAS[[#This Row],[Cantidad ]]*0.25</f>
        <v>0.25</v>
      </c>
    </row>
    <row r="329" customFormat="false" ht="15.75" hidden="true" customHeight="false" outlineLevel="0" collapsed="false">
      <c r="A329" s="24" t="s">
        <v>204</v>
      </c>
      <c r="B329" s="23" t="n">
        <v>44063</v>
      </c>
      <c r="C329" s="11" t="s">
        <v>131</v>
      </c>
      <c r="D329" s="24" t="str">
        <f aca="false">VLOOKUP(SALIDAS[[Código Producto ]],PRODUCTOS[],2,0)</f>
        <v>Jamon tata x 250 gr</v>
      </c>
      <c r="E329" s="24" t="n">
        <v>1</v>
      </c>
      <c r="F329" s="0" t="n">
        <f aca="false">SALIDAS[[#This Row],[Cantidad ]]*0.25</f>
        <v>0.25</v>
      </c>
    </row>
    <row r="330" customFormat="false" ht="15.75" hidden="true" customHeight="false" outlineLevel="0" collapsed="false">
      <c r="A330" s="24" t="s">
        <v>204</v>
      </c>
      <c r="B330" s="23" t="n">
        <v>44063</v>
      </c>
      <c r="C330" s="7" t="s">
        <v>77</v>
      </c>
      <c r="D330" s="24" t="str">
        <f aca="false">VLOOKUP(SALIDAS[[Código Producto ]],PRODUCTOS[],2,0)</f>
        <v>Jamon Ingles x 300g </v>
      </c>
      <c r="E330" s="24" t="n">
        <v>1</v>
      </c>
      <c r="F330" s="0" t="n">
        <f aca="false">SALIDAS[[#This Row],[Cantidad ]]*0.3</f>
        <v>0.3</v>
      </c>
    </row>
    <row r="331" customFormat="false" ht="15.75" hidden="true" customHeight="false" outlineLevel="0" collapsed="false">
      <c r="A331" s="24" t="s">
        <v>204</v>
      </c>
      <c r="B331" s="23" t="n">
        <v>44063</v>
      </c>
      <c r="C331" s="7" t="s">
        <v>69</v>
      </c>
      <c r="D331" s="24" t="str">
        <f aca="false">VLOOKUP(SALIDAS[[Código Producto ]],PRODUCTOS[],2,0)</f>
        <v>Jamon del país artesanal 250g</v>
      </c>
      <c r="E331" s="24" t="n">
        <v>1</v>
      </c>
      <c r="F331" s="0" t="n">
        <f aca="false">SALIDAS[[#This Row],[Cantidad ]]*0.25</f>
        <v>0.25</v>
      </c>
    </row>
    <row r="332" customFormat="false" ht="15.75" hidden="true" customHeight="false" outlineLevel="0" collapsed="false">
      <c r="A332" s="24" t="s">
        <v>204</v>
      </c>
      <c r="B332" s="23" t="n">
        <v>44063</v>
      </c>
      <c r="C332" s="11" t="s">
        <v>87</v>
      </c>
      <c r="D332" s="24" t="str">
        <f aca="false">VLOOKUP(SALIDAS[[Código Producto ]],PRODUCTOS[],2,0)</f>
        <v>Lomo ahumado x 250g</v>
      </c>
      <c r="E332" s="24" t="n">
        <v>1</v>
      </c>
      <c r="F332" s="0" t="n">
        <f aca="false">SALIDAS[[#This Row],[Cantidad ]]*0.25</f>
        <v>0.25</v>
      </c>
    </row>
    <row r="333" customFormat="false" ht="15.75" hidden="true" customHeight="false" outlineLevel="0" collapsed="false">
      <c r="A333" s="24" t="s">
        <v>204</v>
      </c>
      <c r="B333" s="23" t="n">
        <v>44063</v>
      </c>
      <c r="C333" s="11" t="s">
        <v>47</v>
      </c>
      <c r="D333" s="24" t="str">
        <f aca="false">VLOOKUP(SALIDAS[[Código Producto ]],PRODUCTOS[],2,0)</f>
        <v>Frankfurter granel x 4 unidades 250g</v>
      </c>
      <c r="E333" s="24" t="n">
        <v>1</v>
      </c>
      <c r="F333" s="0" t="n">
        <f aca="false">SALIDAS[[#This Row],[Cantidad ]]*0.24</f>
        <v>0.24</v>
      </c>
    </row>
    <row r="334" customFormat="false" ht="15.75" hidden="true" customHeight="false" outlineLevel="0" collapsed="false">
      <c r="A334" s="24" t="s">
        <v>204</v>
      </c>
      <c r="B334" s="23" t="n">
        <v>44063</v>
      </c>
      <c r="C334" s="11" t="s">
        <v>32</v>
      </c>
      <c r="D334" s="24" t="str">
        <f aca="false">VLOOKUP(SALIDAS[[Código Producto ]],PRODUCTOS[],2,0)</f>
        <v>Chorizo Sweet Spicy 400g</v>
      </c>
      <c r="E334" s="24" t="n">
        <v>1</v>
      </c>
      <c r="F334" s="0" t="n">
        <f aca="false">SALIDAS[[#This Row],[Cantidad ]]*0.4</f>
        <v>0.4</v>
      </c>
    </row>
    <row r="335" customFormat="false" ht="15.75" hidden="true" customHeight="false" outlineLevel="0" collapsed="false">
      <c r="A335" s="24" t="s">
        <v>204</v>
      </c>
      <c r="B335" s="23" t="n">
        <v>44063</v>
      </c>
      <c r="C335" s="7" t="s">
        <v>20</v>
      </c>
      <c r="D335" s="24" t="str">
        <f aca="false">VLOOKUP(SALIDAS[[Código Producto ]],PRODUCTOS[],2,0)</f>
        <v>Chorizo finas hierbas x 4 unidades 400g</v>
      </c>
      <c r="E335" s="24" t="n">
        <v>1</v>
      </c>
      <c r="F335" s="0" t="n">
        <f aca="false">SALIDAS[[#This Row],[Cantidad ]]*0.4</f>
        <v>0.4</v>
      </c>
    </row>
    <row r="336" customFormat="false" ht="15.75" hidden="true" customHeight="false" outlineLevel="0" collapsed="false">
      <c r="A336" s="24" t="s">
        <v>204</v>
      </c>
      <c r="B336" s="23" t="n">
        <v>44063</v>
      </c>
      <c r="C336" s="7" t="s">
        <v>28</v>
      </c>
      <c r="D336" s="24" t="str">
        <f aca="false">VLOOKUP(SALIDAS[[Código Producto ]],PRODUCTOS[],2,0)</f>
        <v>Chorizo Oxford x 4 unidades 400g</v>
      </c>
      <c r="E336" s="24" t="n">
        <v>1</v>
      </c>
      <c r="F336" s="0" t="n">
        <f aca="false">SALIDAS[[#This Row],[Cantidad ]]*0.4</f>
        <v>0.4</v>
      </c>
    </row>
    <row r="337" customFormat="false" ht="15.75" hidden="true" customHeight="false" outlineLevel="0" collapsed="false">
      <c r="A337" s="24" t="s">
        <v>204</v>
      </c>
      <c r="B337" s="23" t="n">
        <v>44063</v>
      </c>
      <c r="C337" s="7" t="s">
        <v>93</v>
      </c>
      <c r="D337" s="24" t="str">
        <f aca="false">VLOOKUP(SALIDAS[[Código Producto ]],PRODUCTOS[],2,0)</f>
        <v>Longaniza Huachana x 350g</v>
      </c>
      <c r="E337" s="24" t="n">
        <v>1</v>
      </c>
      <c r="F337" s="0" t="n">
        <f aca="false">SALIDAS[[#This Row],[Cantidad ]]*0.35</f>
        <v>0.35</v>
      </c>
    </row>
    <row r="338" customFormat="false" ht="15.75" hidden="true" customHeight="false" outlineLevel="0" collapsed="false">
      <c r="A338" s="24" t="s">
        <v>204</v>
      </c>
      <c r="B338" s="23" t="n">
        <v>44063</v>
      </c>
      <c r="C338" s="11" t="s">
        <v>97</v>
      </c>
      <c r="D338" s="24" t="str">
        <f aca="false">VLOOKUP(SALIDAS[[Código Producto ]],PRODUCTOS[],2,0)</f>
        <v>Morcilla Granel x3</v>
      </c>
      <c r="E338" s="24" t="n">
        <v>1</v>
      </c>
      <c r="F338" s="0" t="n">
        <f aca="false">SALIDAS[[#This Row],[Cantidad ]]*0.25</f>
        <v>0.25</v>
      </c>
    </row>
    <row r="339" customFormat="false" ht="15.75" hidden="false" customHeight="false" outlineLevel="0" collapsed="false">
      <c r="A339" s="24" t="s">
        <v>157</v>
      </c>
      <c r="B339" s="23" t="n">
        <v>44064</v>
      </c>
      <c r="C339" s="7" t="s">
        <v>22</v>
      </c>
      <c r="D339" s="24" t="str">
        <f aca="false">VLOOKUP(SALIDAS[[Código Producto ]],PRODUCTOS[],2,0)</f>
        <v>Chorizo finas hierbas x 6 unidades 600g</v>
      </c>
      <c r="E339" s="24" t="n">
        <v>2</v>
      </c>
      <c r="F339" s="0" t="n">
        <f aca="false">SALIDAS[[#This Row],[Cantidad ]]*0.6</f>
        <v>1.2</v>
      </c>
    </row>
    <row r="340" customFormat="false" ht="15.75" hidden="false" customHeight="false" outlineLevel="0" collapsed="false">
      <c r="A340" s="24" t="s">
        <v>157</v>
      </c>
      <c r="B340" s="23" t="n">
        <v>44064</v>
      </c>
      <c r="C340" s="11" t="s">
        <v>117</v>
      </c>
      <c r="D340" s="24" t="str">
        <f aca="false">VLOOKUP(SALIDAS[[Código Producto ]],PRODUCTOS[],2,0)</f>
        <v>Tocino Ahumado Redondo  x 200g (ROJO)</v>
      </c>
      <c r="E340" s="24" t="n">
        <v>2</v>
      </c>
      <c r="F340" s="0" t="n">
        <f aca="false">SALIDAS[[#This Row],[Cantidad ]]*0.2</f>
        <v>0.4</v>
      </c>
    </row>
    <row r="341" customFormat="false" ht="15.75" hidden="false" customHeight="false" outlineLevel="0" collapsed="false">
      <c r="A341" s="24" t="s">
        <v>157</v>
      </c>
      <c r="B341" s="23" t="n">
        <v>44064</v>
      </c>
      <c r="C341" s="7" t="s">
        <v>14</v>
      </c>
      <c r="D341" s="24" t="str">
        <f aca="false">VLOOKUP(SALIDAS[[Código Producto ]],PRODUCTOS[],2,0)</f>
        <v>Chistorra Huachana x 6 unidades 150g</v>
      </c>
      <c r="E341" s="24" t="n">
        <v>3</v>
      </c>
      <c r="F341" s="0" t="n">
        <f aca="false">SALIDAS[[#This Row],[Cantidad ]]*0.15</f>
        <v>0.45</v>
      </c>
    </row>
    <row r="342" customFormat="false" ht="15.75" hidden="false" customHeight="false" outlineLevel="0" collapsed="false">
      <c r="A342" s="24" t="s">
        <v>158</v>
      </c>
      <c r="B342" s="23" t="n">
        <v>44064</v>
      </c>
      <c r="C342" s="7" t="s">
        <v>79</v>
      </c>
      <c r="D342" s="24" t="str">
        <f aca="false">VLOOKUP(SALIDAS[[Código Producto ]],PRODUCTOS[],2,0)</f>
        <v>Jamon pizza  x 3.2 Kg (Entero)</v>
      </c>
      <c r="E342" s="24" t="n">
        <v>18.96</v>
      </c>
      <c r="F342" s="0" t="n">
        <f aca="false">SALIDAS[[#This Row],[Cantidad ]]</f>
        <v>18.96</v>
      </c>
    </row>
    <row r="343" customFormat="false" ht="15.75" hidden="true" customHeight="false" outlineLevel="0" collapsed="false">
      <c r="A343" s="24" t="s">
        <v>205</v>
      </c>
      <c r="B343" s="23" t="n">
        <v>44064</v>
      </c>
      <c r="C343" s="7" t="s">
        <v>75</v>
      </c>
      <c r="D343" s="24" t="str">
        <f aca="false">VLOOKUP(SALIDAS[[Código Producto ]],PRODUCTOS[],2,0)</f>
        <v>Jamon Ingles x 250g</v>
      </c>
      <c r="E343" s="24" t="n">
        <v>1</v>
      </c>
      <c r="F343" s="0" t="n">
        <f aca="false">SALIDAS[[#This Row],[Cantidad ]]*0.25</f>
        <v>0.25</v>
      </c>
    </row>
    <row r="344" customFormat="false" ht="15.75" hidden="true" customHeight="false" outlineLevel="0" collapsed="false">
      <c r="A344" s="24" t="s">
        <v>205</v>
      </c>
      <c r="B344" s="23" t="n">
        <v>44064</v>
      </c>
      <c r="C344" s="11" t="s">
        <v>131</v>
      </c>
      <c r="D344" s="24" t="str">
        <f aca="false">VLOOKUP(SALIDAS[[Código Producto ]],PRODUCTOS[],2,0)</f>
        <v>Jamon tata x 250 gr</v>
      </c>
      <c r="E344" s="24" t="n">
        <v>1</v>
      </c>
      <c r="F344" s="0" t="n">
        <f aca="false">SALIDAS[[#This Row],[Cantidad ]]*0.25</f>
        <v>0.25</v>
      </c>
    </row>
    <row r="345" customFormat="false" ht="15.75" hidden="true" customHeight="false" outlineLevel="0" collapsed="false">
      <c r="A345" s="24" t="s">
        <v>205</v>
      </c>
      <c r="B345" s="23" t="n">
        <v>44064</v>
      </c>
      <c r="C345" s="11" t="s">
        <v>139</v>
      </c>
      <c r="D345" s="24" t="str">
        <f aca="false">VLOOKUP(SALIDAS[[Código Producto ]],PRODUCTOS[],2,0)</f>
        <v>Jamon La nonna x 250g</v>
      </c>
      <c r="E345" s="24" t="n">
        <v>1</v>
      </c>
      <c r="F345" s="0" t="n">
        <f aca="false">SALIDAS[[#This Row],[Cantidad ]]*0.25</f>
        <v>0.25</v>
      </c>
    </row>
    <row r="346" customFormat="false" ht="15.75" hidden="true" customHeight="false" outlineLevel="0" collapsed="false">
      <c r="A346" s="24" t="s">
        <v>205</v>
      </c>
      <c r="B346" s="23" t="n">
        <v>44064</v>
      </c>
      <c r="C346" s="7" t="s">
        <v>69</v>
      </c>
      <c r="D346" s="24" t="str">
        <f aca="false">VLOOKUP(SALIDAS[[Código Producto ]],PRODUCTOS[],2,0)</f>
        <v>Jamon del país artesanal 250g</v>
      </c>
      <c r="E346" s="24" t="n">
        <v>1</v>
      </c>
      <c r="F346" s="0" t="n">
        <f aca="false">SALIDAS[[#This Row],[Cantidad ]]*0.25</f>
        <v>0.25</v>
      </c>
    </row>
    <row r="347" customFormat="false" ht="15.75" hidden="true" customHeight="false" outlineLevel="0" collapsed="false">
      <c r="A347" s="24" t="s">
        <v>205</v>
      </c>
      <c r="B347" s="23" t="n">
        <v>44064</v>
      </c>
      <c r="C347" s="7" t="s">
        <v>41</v>
      </c>
      <c r="D347" s="24" t="str">
        <f aca="false">VLOOKUP(SALIDAS[[Código Producto ]],PRODUCTOS[],2,0)</f>
        <v>Frankfurter cocktail x 10 unidades x 250g</v>
      </c>
      <c r="E347" s="24" t="n">
        <v>1</v>
      </c>
      <c r="F347" s="0" t="n">
        <f aca="false">SALIDAS[[#This Row],[Cantidad ]]*0.25</f>
        <v>0.25</v>
      </c>
    </row>
    <row r="348" customFormat="false" ht="15.75" hidden="true" customHeight="false" outlineLevel="0" collapsed="false">
      <c r="A348" s="24" t="s">
        <v>205</v>
      </c>
      <c r="B348" s="23" t="n">
        <v>44064</v>
      </c>
      <c r="C348" s="7" t="s">
        <v>49</v>
      </c>
      <c r="D348" s="24" t="str">
        <f aca="false">VLOOKUP(SALIDAS[[Código Producto ]],PRODUCTOS[],2,0)</f>
        <v>Frankfurter municipal x 3 unidades </v>
      </c>
      <c r="E348" s="24" t="n">
        <v>1</v>
      </c>
      <c r="F348" s="0" t="n">
        <f aca="false">SALIDAS[[#This Row],[Cantidad ]]*0.45</f>
        <v>0.45</v>
      </c>
    </row>
    <row r="349" customFormat="false" ht="15.75" hidden="true" customHeight="false" outlineLevel="0" collapsed="false">
      <c r="A349" s="24" t="s">
        <v>205</v>
      </c>
      <c r="B349" s="23" t="n">
        <v>44064</v>
      </c>
      <c r="C349" s="11" t="s">
        <v>47</v>
      </c>
      <c r="D349" s="24" t="str">
        <f aca="false">VLOOKUP(SALIDAS[[Código Producto ]],PRODUCTOS[],2,0)</f>
        <v>Frankfurter granel x 4 unidades 250g</v>
      </c>
      <c r="E349" s="24" t="n">
        <v>1</v>
      </c>
      <c r="F349" s="0" t="n">
        <f aca="false">SALIDAS[[#This Row],[Cantidad ]]*0.24</f>
        <v>0.24</v>
      </c>
    </row>
    <row r="350" customFormat="false" ht="15.75" hidden="true" customHeight="false" outlineLevel="0" collapsed="false">
      <c r="A350" s="24" t="s">
        <v>205</v>
      </c>
      <c r="B350" s="23" t="n">
        <v>44064</v>
      </c>
      <c r="C350" s="7" t="s">
        <v>14</v>
      </c>
      <c r="D350" s="24" t="str">
        <f aca="false">VLOOKUP(SALIDAS[[Código Producto ]],PRODUCTOS[],2,0)</f>
        <v>Chistorra Huachana x 6 unidades 150g</v>
      </c>
      <c r="E350" s="24" t="n">
        <v>1</v>
      </c>
      <c r="F350" s="0" t="n">
        <f aca="false">SALIDAS[[#This Row],[Cantidad ]]*0.15</f>
        <v>0.15</v>
      </c>
    </row>
    <row r="351" customFormat="false" ht="15.75" hidden="true" customHeight="false" outlineLevel="0" collapsed="false">
      <c r="A351" s="24" t="s">
        <v>205</v>
      </c>
      <c r="B351" s="23" t="n">
        <v>44064</v>
      </c>
      <c r="C351" s="7" t="s">
        <v>20</v>
      </c>
      <c r="D351" s="24" t="str">
        <f aca="false">VLOOKUP(SALIDAS[[Código Producto ]],PRODUCTOS[],2,0)</f>
        <v>Chorizo finas hierbas x 4 unidades 400g</v>
      </c>
      <c r="E351" s="24" t="n">
        <v>1</v>
      </c>
      <c r="F351" s="0" t="n">
        <f aca="false">SALIDAS[[#This Row],[Cantidad ]]*0.4</f>
        <v>0.4</v>
      </c>
    </row>
    <row r="352" customFormat="false" ht="15.75" hidden="true" customHeight="false" outlineLevel="0" collapsed="false">
      <c r="A352" s="24" t="s">
        <v>205</v>
      </c>
      <c r="B352" s="23" t="n">
        <v>44064</v>
      </c>
      <c r="C352" s="7" t="s">
        <v>26</v>
      </c>
      <c r="D352" s="24" t="str">
        <f aca="false">VLOOKUP(SALIDAS[[Código Producto ]],PRODUCTOS[],2,0)</f>
        <v>Chorizo Oxford x 10 unidades 250g</v>
      </c>
      <c r="E352" s="24" t="n">
        <v>1</v>
      </c>
      <c r="F352" s="0" t="n">
        <f aca="false">SALIDAS[[#This Row],[Cantidad ]]*0.25</f>
        <v>0.25</v>
      </c>
    </row>
    <row r="353" customFormat="false" ht="15.75" hidden="true" customHeight="false" outlineLevel="0" collapsed="false">
      <c r="A353" s="24" t="s">
        <v>205</v>
      </c>
      <c r="B353" s="23" t="n">
        <v>44064</v>
      </c>
      <c r="C353" s="11" t="s">
        <v>117</v>
      </c>
      <c r="D353" s="24" t="str">
        <f aca="false">VLOOKUP(SALIDAS[[Código Producto ]],PRODUCTOS[],2,0)</f>
        <v>Tocino Ahumado Redondo  x 200g (ROJO)</v>
      </c>
      <c r="E353" s="24" t="n">
        <v>1</v>
      </c>
      <c r="F353" s="0" t="n">
        <f aca="false">SALIDAS[[#This Row],[Cantidad ]]*0.2</f>
        <v>0.2</v>
      </c>
    </row>
    <row r="354" customFormat="false" ht="15.75" hidden="true" customHeight="false" outlineLevel="0" collapsed="false">
      <c r="A354" s="24" t="s">
        <v>205</v>
      </c>
      <c r="B354" s="23" t="n">
        <v>44064</v>
      </c>
      <c r="C354" s="11" t="s">
        <v>111</v>
      </c>
      <c r="D354" s="24" t="str">
        <f aca="false">VLOOKUP(SALIDAS[[Código Producto ]],PRODUCTOS[],2,0)</f>
        <v>Tocino Ahumado Natural x250g</v>
      </c>
      <c r="E354" s="24" t="n">
        <v>1</v>
      </c>
      <c r="F354" s="0" t="n">
        <f aca="false">SALIDAS[[#This Row],[Cantidad ]]*0.25</f>
        <v>0.25</v>
      </c>
    </row>
    <row r="355" customFormat="false" ht="15.75" hidden="true" customHeight="false" outlineLevel="0" collapsed="false">
      <c r="A355" s="24" t="s">
        <v>205</v>
      </c>
      <c r="B355" s="23" t="n">
        <v>44064</v>
      </c>
      <c r="C355" s="11" t="s">
        <v>95</v>
      </c>
      <c r="D355" s="24" t="str">
        <f aca="false">VLOOKUP(SALIDAS[[Código Producto ]],PRODUCTOS[],2,0)</f>
        <v>Morcilla Cocktail x10</v>
      </c>
      <c r="E355" s="24" t="n">
        <v>1</v>
      </c>
      <c r="F355" s="0" t="n">
        <f aca="false">SALIDAS[[#This Row],[Cantidad ]]*0.25</f>
        <v>0.25</v>
      </c>
    </row>
    <row r="356" customFormat="false" ht="15.75" hidden="true" customHeight="false" outlineLevel="0" collapsed="false">
      <c r="A356" s="24" t="s">
        <v>205</v>
      </c>
      <c r="B356" s="23" t="n">
        <v>44064</v>
      </c>
      <c r="C356" s="11" t="s">
        <v>125</v>
      </c>
      <c r="D356" s="24" t="str">
        <f aca="false">VLOOKUP(SALIDAS[[Código Producto ]],PRODUCTOS[],2,0)</f>
        <v>Vienesa x 5 unidades X 250g</v>
      </c>
      <c r="E356" s="24" t="n">
        <v>1</v>
      </c>
      <c r="F356" s="0" t="n">
        <f aca="false">SALIDAS[[#This Row],[Cantidad ]]*0.25</f>
        <v>0.25</v>
      </c>
    </row>
    <row r="357" customFormat="false" ht="15.75" hidden="true" customHeight="false" outlineLevel="0" collapsed="false">
      <c r="A357" s="24" t="s">
        <v>205</v>
      </c>
      <c r="B357" s="23" t="n">
        <v>44064</v>
      </c>
      <c r="C357" s="7" t="s">
        <v>81</v>
      </c>
      <c r="D357" s="24" t="str">
        <f aca="false">VLOOKUP(SALIDAS[[Código Producto ]],PRODUCTOS[],2,0)</f>
        <v>Jamon pizza x 250g</v>
      </c>
      <c r="E357" s="24" t="n">
        <v>1</v>
      </c>
      <c r="F357" s="0" t="n">
        <f aca="false">SALIDAS[[#This Row],[Cantidad ]]*0.25</f>
        <v>0.25</v>
      </c>
    </row>
    <row r="358" customFormat="false" ht="15.75" hidden="true" customHeight="false" outlineLevel="0" collapsed="false">
      <c r="A358" s="24" t="s">
        <v>205</v>
      </c>
      <c r="B358" s="23" t="n">
        <v>44064</v>
      </c>
      <c r="C358" s="11" t="s">
        <v>32</v>
      </c>
      <c r="D358" s="24" t="str">
        <f aca="false">VLOOKUP(SALIDAS[[Código Producto ]],PRODUCTOS[],2,0)</f>
        <v>Chorizo Sweet Spicy 400g</v>
      </c>
      <c r="E358" s="24" t="n">
        <v>1</v>
      </c>
      <c r="F358" s="0" t="n">
        <f aca="false">SALIDAS[[#This Row],[Cantidad ]]*0.4</f>
        <v>0.4</v>
      </c>
    </row>
    <row r="359" customFormat="false" ht="15.75" hidden="true" customHeight="false" outlineLevel="0" collapsed="false">
      <c r="A359" s="24" t="s">
        <v>205</v>
      </c>
      <c r="B359" s="23" t="n">
        <v>44064</v>
      </c>
      <c r="C359" s="11" t="s">
        <v>147</v>
      </c>
      <c r="D359" s="24" t="str">
        <f aca="false">VLOOKUP(SALIDAS[[Código Producto ]],PRODUCTOS[],2,0)</f>
        <v>Jamon  artesano x 250g</v>
      </c>
      <c r="E359" s="24" t="n">
        <v>1</v>
      </c>
      <c r="F359" s="0" t="n">
        <f aca="false">SALIDAS[[#This Row],[Cantidad ]]*0.25</f>
        <v>0.25</v>
      </c>
    </row>
    <row r="360" customFormat="false" ht="15.75" hidden="true" customHeight="false" outlineLevel="0" collapsed="false">
      <c r="A360" s="24" t="s">
        <v>206</v>
      </c>
      <c r="B360" s="23" t="n">
        <v>44064</v>
      </c>
      <c r="C360" s="11" t="s">
        <v>131</v>
      </c>
      <c r="D360" s="24" t="str">
        <f aca="false">VLOOKUP(SALIDAS[[Código Producto ]],PRODUCTOS[],2,0)</f>
        <v>Jamon tata x 250 gr</v>
      </c>
      <c r="E360" s="24" t="n">
        <v>1</v>
      </c>
      <c r="F360" s="0" t="n">
        <f aca="false">SALIDAS[[#This Row],[Cantidad ]]*0.25</f>
        <v>0.25</v>
      </c>
    </row>
    <row r="361" customFormat="false" ht="15.75" hidden="true" customHeight="false" outlineLevel="0" collapsed="false">
      <c r="A361" s="24" t="s">
        <v>206</v>
      </c>
      <c r="B361" s="23" t="n">
        <v>44064</v>
      </c>
      <c r="C361" s="7" t="s">
        <v>75</v>
      </c>
      <c r="D361" s="24" t="str">
        <f aca="false">VLOOKUP(SALIDAS[[Código Producto ]],PRODUCTOS[],2,0)</f>
        <v>Jamon Ingles x 250g</v>
      </c>
      <c r="E361" s="24" t="n">
        <v>1</v>
      </c>
      <c r="F361" s="0" t="n">
        <f aca="false">SALIDAS[[#This Row],[Cantidad ]]*0.25</f>
        <v>0.25</v>
      </c>
    </row>
    <row r="362" customFormat="false" ht="15.75" hidden="true" customHeight="false" outlineLevel="0" collapsed="false">
      <c r="A362" s="24" t="s">
        <v>206</v>
      </c>
      <c r="B362" s="23" t="n">
        <v>44064</v>
      </c>
      <c r="C362" s="7" t="s">
        <v>41</v>
      </c>
      <c r="D362" s="24" t="str">
        <f aca="false">VLOOKUP(SALIDAS[[Código Producto ]],PRODUCTOS[],2,0)</f>
        <v>Frankfurter cocktail x 10 unidades x 250g</v>
      </c>
      <c r="E362" s="24" t="n">
        <v>2</v>
      </c>
      <c r="F362" s="0" t="n">
        <f aca="false">SALIDAS[[#This Row],[Cantidad ]]*0.25</f>
        <v>0.5</v>
      </c>
    </row>
    <row r="363" customFormat="false" ht="15.75" hidden="true" customHeight="false" outlineLevel="0" collapsed="false">
      <c r="A363" s="24" t="s">
        <v>206</v>
      </c>
      <c r="B363" s="23" t="n">
        <v>44064</v>
      </c>
      <c r="C363" s="11" t="s">
        <v>47</v>
      </c>
      <c r="D363" s="24" t="str">
        <f aca="false">VLOOKUP(SALIDAS[[Código Producto ]],PRODUCTOS[],2,0)</f>
        <v>Frankfurter granel x 4 unidades 250g</v>
      </c>
      <c r="E363" s="24" t="n">
        <v>2</v>
      </c>
      <c r="F363" s="0" t="n">
        <f aca="false">SALIDAS[[#This Row],[Cantidad ]]*0.24</f>
        <v>0.48</v>
      </c>
    </row>
    <row r="364" customFormat="false" ht="15.75" hidden="true" customHeight="false" outlineLevel="0" collapsed="false">
      <c r="A364" s="24" t="s">
        <v>206</v>
      </c>
      <c r="B364" s="23" t="n">
        <v>44064</v>
      </c>
      <c r="C364" s="7" t="s">
        <v>49</v>
      </c>
      <c r="D364" s="24" t="str">
        <f aca="false">VLOOKUP(SALIDAS[[Código Producto ]],PRODUCTOS[],2,0)</f>
        <v>Frankfurter municipal x 3 unidades </v>
      </c>
      <c r="E364" s="24" t="n">
        <v>1</v>
      </c>
      <c r="F364" s="0" t="n">
        <f aca="false">SALIDAS[[#This Row],[Cantidad ]]*0.45</f>
        <v>0.45</v>
      </c>
    </row>
    <row r="365" customFormat="false" ht="15.75" hidden="true" customHeight="false" outlineLevel="0" collapsed="false">
      <c r="A365" s="24" t="s">
        <v>206</v>
      </c>
      <c r="B365" s="23" t="n">
        <v>44064</v>
      </c>
      <c r="C365" s="11" t="s">
        <v>117</v>
      </c>
      <c r="D365" s="24" t="str">
        <f aca="false">VLOOKUP(SALIDAS[[Código Producto ]],PRODUCTOS[],2,0)</f>
        <v>Tocino Ahumado Redondo  x 200g (ROJO)</v>
      </c>
      <c r="E365" s="24" t="n">
        <v>1</v>
      </c>
      <c r="F365" s="0" t="n">
        <f aca="false">SALIDAS[[#This Row],[Cantidad ]]*0.2</f>
        <v>0.2</v>
      </c>
    </row>
    <row r="366" customFormat="false" ht="15.75" hidden="true" customHeight="false" outlineLevel="0" collapsed="false">
      <c r="A366" s="24" t="s">
        <v>206</v>
      </c>
      <c r="B366" s="23" t="n">
        <v>44064</v>
      </c>
      <c r="C366" s="11" t="s">
        <v>135</v>
      </c>
      <c r="D366" s="24" t="str">
        <f aca="false">VLOOKUP(SALIDAS[[Código Producto ]],PRODUCTOS[],2,0)</f>
        <v>Jamon tata a las finas hierbas x 250 g</v>
      </c>
      <c r="E366" s="24" t="n">
        <v>1</v>
      </c>
      <c r="F366" s="0" t="n">
        <f aca="false">SALIDAS[[#This Row],[Cantidad ]]*0.25</f>
        <v>0.25</v>
      </c>
    </row>
    <row r="367" customFormat="false" ht="15.75" hidden="true" customHeight="false" outlineLevel="0" collapsed="false">
      <c r="A367" s="24" t="s">
        <v>207</v>
      </c>
      <c r="B367" s="23" t="n">
        <v>44064</v>
      </c>
      <c r="C367" s="11" t="s">
        <v>135</v>
      </c>
      <c r="D367" s="24" t="str">
        <f aca="false">VLOOKUP(SALIDAS[[Código Producto ]],PRODUCTOS[],2,0)</f>
        <v>Jamon tata a las finas hierbas x 250 g</v>
      </c>
      <c r="E367" s="24" t="n">
        <v>1</v>
      </c>
      <c r="F367" s="0" t="n">
        <f aca="false">SALIDAS[[#This Row],[Cantidad ]]*0.25</f>
        <v>0.25</v>
      </c>
    </row>
    <row r="368" customFormat="false" ht="15.75" hidden="true" customHeight="false" outlineLevel="0" collapsed="false">
      <c r="A368" s="24" t="s">
        <v>207</v>
      </c>
      <c r="B368" s="23" t="n">
        <v>44064</v>
      </c>
      <c r="C368" s="11" t="s">
        <v>32</v>
      </c>
      <c r="D368" s="24" t="str">
        <f aca="false">VLOOKUP(SALIDAS[[Código Producto ]],PRODUCTOS[],2,0)</f>
        <v>Chorizo Sweet Spicy 400g</v>
      </c>
      <c r="E368" s="24" t="n">
        <v>1</v>
      </c>
      <c r="F368" s="0" t="n">
        <f aca="false">SALIDAS[[#This Row],[Cantidad ]]*0.4</f>
        <v>0.4</v>
      </c>
    </row>
    <row r="369" customFormat="false" ht="15.75" hidden="true" customHeight="false" outlineLevel="0" collapsed="false">
      <c r="A369" s="24" t="s">
        <v>207</v>
      </c>
      <c r="B369" s="23" t="n">
        <v>44064</v>
      </c>
      <c r="C369" s="11" t="s">
        <v>117</v>
      </c>
      <c r="D369" s="24" t="str">
        <f aca="false">VLOOKUP(SALIDAS[[Código Producto ]],PRODUCTOS[],2,0)</f>
        <v>Tocino Ahumado Redondo  x 200g (ROJO)</v>
      </c>
      <c r="E369" s="24" t="n">
        <v>1</v>
      </c>
      <c r="F369" s="0" t="n">
        <f aca="false">SALIDAS[[#This Row],[Cantidad ]]*0.2</f>
        <v>0.2</v>
      </c>
    </row>
    <row r="370" customFormat="false" ht="15.75" hidden="true" customHeight="false" outlineLevel="0" collapsed="false">
      <c r="A370" s="24" t="s">
        <v>207</v>
      </c>
      <c r="B370" s="23" t="n">
        <v>44064</v>
      </c>
      <c r="C370" s="11" t="s">
        <v>139</v>
      </c>
      <c r="D370" s="24" t="str">
        <f aca="false">VLOOKUP(SALIDAS[[Código Producto ]],PRODUCTOS[],2,0)</f>
        <v>Jamon La nonna x 250g</v>
      </c>
      <c r="E370" s="24" t="n">
        <v>1</v>
      </c>
      <c r="F370" s="0" t="n">
        <f aca="false">SALIDAS[[#This Row],[Cantidad ]]*0.25</f>
        <v>0.25</v>
      </c>
    </row>
    <row r="371" customFormat="false" ht="15.75" hidden="false" customHeight="false" outlineLevel="0" collapsed="false">
      <c r="A371" s="24" t="s">
        <v>167</v>
      </c>
      <c r="B371" s="23" t="n">
        <v>44064</v>
      </c>
      <c r="C371" s="7" t="s">
        <v>28</v>
      </c>
      <c r="D371" s="24" t="str">
        <f aca="false">VLOOKUP(SALIDAS[[Código Producto ]],PRODUCTOS[],2,0)</f>
        <v>Chorizo Oxford x 4 unidades 400g</v>
      </c>
      <c r="E371" s="24" t="n">
        <v>10</v>
      </c>
      <c r="F371" s="0" t="n">
        <f aca="false">SALIDAS[[#This Row],[Cantidad ]]*0.4</f>
        <v>4</v>
      </c>
    </row>
    <row r="372" customFormat="false" ht="15.75" hidden="false" customHeight="false" outlineLevel="0" collapsed="false">
      <c r="A372" s="24" t="s">
        <v>167</v>
      </c>
      <c r="B372" s="23" t="n">
        <v>44064</v>
      </c>
      <c r="C372" s="7" t="s">
        <v>30</v>
      </c>
      <c r="D372" s="24" t="str">
        <f aca="false">VLOOKUP(SALIDAS[[Código Producto ]],PRODUCTOS[],2,0)</f>
        <v>Chorizo Oxford x 6 unidades 600g</v>
      </c>
      <c r="E372" s="24" t="n">
        <v>10</v>
      </c>
      <c r="F372" s="0" t="n">
        <f aca="false">SALIDAS[[#This Row],[Cantidad ]]*0.6</f>
        <v>6</v>
      </c>
    </row>
    <row r="373" customFormat="false" ht="15.75" hidden="false" customHeight="false" outlineLevel="0" collapsed="false">
      <c r="A373" s="24" t="s">
        <v>167</v>
      </c>
      <c r="B373" s="23" t="n">
        <v>44064</v>
      </c>
      <c r="C373" s="11" t="s">
        <v>137</v>
      </c>
      <c r="D373" s="24" t="str">
        <f aca="false">VLOOKUP(SALIDAS[[Código Producto ]],PRODUCTOS[],2,0)</f>
        <v>Jamon tata a las finas hierbas x 300g</v>
      </c>
      <c r="E373" s="24" t="n">
        <v>3</v>
      </c>
      <c r="F373" s="0" t="n">
        <f aca="false">SALIDAS[[#This Row],[Cantidad ]]*0.3</f>
        <v>0.9</v>
      </c>
    </row>
    <row r="374" customFormat="false" ht="15.75" hidden="false" customHeight="false" outlineLevel="0" collapsed="false">
      <c r="A374" s="24" t="s">
        <v>167</v>
      </c>
      <c r="B374" s="23" t="n">
        <v>44064</v>
      </c>
      <c r="C374" s="11" t="s">
        <v>139</v>
      </c>
      <c r="D374" s="24" t="str">
        <f aca="false">VLOOKUP(SALIDAS[[Código Producto ]],PRODUCTOS[],2,0)</f>
        <v>Jamon La nonna x 250g</v>
      </c>
      <c r="E374" s="24" t="n">
        <v>5</v>
      </c>
      <c r="F374" s="0" t="n">
        <f aca="false">SALIDAS[[#This Row],[Cantidad ]]*0.25</f>
        <v>1.25</v>
      </c>
    </row>
    <row r="375" customFormat="false" ht="15.75" hidden="false" customHeight="false" outlineLevel="0" collapsed="false">
      <c r="A375" s="24" t="s">
        <v>167</v>
      </c>
      <c r="B375" s="23" t="n">
        <v>44064</v>
      </c>
      <c r="C375" s="11" t="s">
        <v>32</v>
      </c>
      <c r="D375" s="24" t="str">
        <f aca="false">VLOOKUP(SALIDAS[[Código Producto ]],PRODUCTOS[],2,0)</f>
        <v>Chorizo Sweet Spicy 400g</v>
      </c>
      <c r="E375" s="24" t="n">
        <v>5</v>
      </c>
      <c r="F375" s="0" t="n">
        <f aca="false">SALIDAS[[#This Row],[Cantidad ]]*0.4</f>
        <v>2</v>
      </c>
    </row>
    <row r="376" customFormat="false" ht="15.75" hidden="false" customHeight="false" outlineLevel="0" collapsed="false">
      <c r="A376" s="24" t="s">
        <v>167</v>
      </c>
      <c r="B376" s="23" t="n">
        <v>44064</v>
      </c>
      <c r="C376" s="11" t="s">
        <v>34</v>
      </c>
      <c r="D376" s="24" t="str">
        <f aca="false">VLOOKUP(SALIDAS[[Código Producto ]],PRODUCTOS[],2,0)</f>
        <v>Chorizo Sweet Spicy 600g</v>
      </c>
      <c r="E376" s="24" t="n">
        <v>10</v>
      </c>
      <c r="F376" s="0" t="n">
        <f aca="false">SALIDAS[[#This Row],[Cantidad ]]*0.6</f>
        <v>6</v>
      </c>
    </row>
    <row r="377" customFormat="false" ht="15.75" hidden="false" customHeight="false" outlineLevel="0" collapsed="false">
      <c r="A377" s="24" t="s">
        <v>167</v>
      </c>
      <c r="B377" s="23" t="n">
        <v>44064</v>
      </c>
      <c r="C377" s="11" t="s">
        <v>47</v>
      </c>
      <c r="D377" s="24" t="str">
        <f aca="false">VLOOKUP(SALIDAS[[Código Producto ]],PRODUCTOS[],2,0)</f>
        <v>Frankfurter granel x 4 unidades 250g</v>
      </c>
      <c r="E377" s="24" t="n">
        <v>10</v>
      </c>
      <c r="F377" s="0" t="n">
        <f aca="false">SALIDAS[[#This Row],[Cantidad ]]*0.24</f>
        <v>2.4</v>
      </c>
    </row>
    <row r="378" customFormat="false" ht="15.75" hidden="false" customHeight="false" outlineLevel="0" collapsed="false">
      <c r="A378" s="24" t="s">
        <v>167</v>
      </c>
      <c r="B378" s="23" t="n">
        <v>44064</v>
      </c>
      <c r="C378" s="7" t="s">
        <v>93</v>
      </c>
      <c r="D378" s="24" t="str">
        <f aca="false">VLOOKUP(SALIDAS[[Código Producto ]],PRODUCTOS[],2,0)</f>
        <v>Longaniza Huachana x 350g</v>
      </c>
      <c r="E378" s="24" t="n">
        <v>2</v>
      </c>
      <c r="F378" s="0" t="n">
        <f aca="false">SALIDAS[[#This Row],[Cantidad ]]*0.35</f>
        <v>0.7</v>
      </c>
    </row>
    <row r="379" customFormat="false" ht="15.75" hidden="false" customHeight="false" outlineLevel="0" collapsed="false">
      <c r="A379" s="24" t="s">
        <v>167</v>
      </c>
      <c r="B379" s="23" t="n">
        <v>44064</v>
      </c>
      <c r="C379" s="11" t="s">
        <v>125</v>
      </c>
      <c r="D379" s="24" t="str">
        <f aca="false">VLOOKUP(SALIDAS[[Código Producto ]],PRODUCTOS[],2,0)</f>
        <v>Vienesa x 5 unidades X 250g</v>
      </c>
      <c r="E379" s="24" t="n">
        <v>10</v>
      </c>
      <c r="F379" s="0" t="n">
        <f aca="false">SALIDAS[[#This Row],[Cantidad ]]*0.25</f>
        <v>2.5</v>
      </c>
    </row>
    <row r="380" customFormat="false" ht="15.75" hidden="false" customHeight="false" outlineLevel="0" collapsed="false">
      <c r="A380" s="24" t="s">
        <v>167</v>
      </c>
      <c r="B380" s="23" t="n">
        <v>44064</v>
      </c>
      <c r="C380" s="11" t="s">
        <v>111</v>
      </c>
      <c r="D380" s="24" t="str">
        <f aca="false">VLOOKUP(SALIDAS[[Código Producto ]],PRODUCTOS[],2,0)</f>
        <v>Tocino Ahumado Natural x250g</v>
      </c>
      <c r="E380" s="24" t="n">
        <v>5</v>
      </c>
      <c r="F380" s="0" t="n">
        <f aca="false">SALIDAS[[#This Row],[Cantidad ]]*0.25</f>
        <v>1.25</v>
      </c>
    </row>
    <row r="381" customFormat="false" ht="15.75" hidden="false" customHeight="false" outlineLevel="0" collapsed="false">
      <c r="A381" s="24" t="s">
        <v>167</v>
      </c>
      <c r="B381" s="23" t="n">
        <v>44064</v>
      </c>
      <c r="C381" s="11" t="s">
        <v>117</v>
      </c>
      <c r="D381" s="24" t="str">
        <f aca="false">VLOOKUP(SALIDAS[[Código Producto ]],PRODUCTOS[],2,0)</f>
        <v>Tocino Ahumado Redondo  x 200g (ROJO)</v>
      </c>
      <c r="E381" s="24" t="n">
        <v>10</v>
      </c>
      <c r="F381" s="0" t="n">
        <f aca="false">SALIDAS[[#This Row],[Cantidad ]]*0.2</f>
        <v>2</v>
      </c>
    </row>
    <row r="382" customFormat="false" ht="15.75" hidden="false" customHeight="false" outlineLevel="0" collapsed="false">
      <c r="A382" s="24" t="s">
        <v>156</v>
      </c>
      <c r="B382" s="23" t="n">
        <v>44064</v>
      </c>
      <c r="C382" s="7" t="s">
        <v>93</v>
      </c>
      <c r="D382" s="24" t="str">
        <f aca="false">VLOOKUP(SALIDAS[[Código Producto ]],PRODUCTOS[],2,0)</f>
        <v>Longaniza Huachana x 350g</v>
      </c>
      <c r="E382" s="24" t="n">
        <v>5</v>
      </c>
      <c r="F382" s="0" t="n">
        <f aca="false">SALIDAS[[#This Row],[Cantidad ]]*0.35</f>
        <v>1.75</v>
      </c>
    </row>
    <row r="383" customFormat="false" ht="15.75" hidden="false" customHeight="false" outlineLevel="0" collapsed="false">
      <c r="A383" s="24" t="s">
        <v>156</v>
      </c>
      <c r="B383" s="23" t="n">
        <v>44064</v>
      </c>
      <c r="C383" s="7" t="s">
        <v>75</v>
      </c>
      <c r="D383" s="24" t="str">
        <f aca="false">VLOOKUP(SALIDAS[[Código Producto ]],PRODUCTOS[],2,0)</f>
        <v>Jamon Ingles x 250g</v>
      </c>
      <c r="E383" s="24" t="n">
        <v>5</v>
      </c>
      <c r="F383" s="0" t="n">
        <f aca="false">SALIDAS[[#This Row],[Cantidad ]]*0.25</f>
        <v>1.25</v>
      </c>
    </row>
    <row r="384" customFormat="false" ht="15.75" hidden="false" customHeight="false" outlineLevel="0" collapsed="false">
      <c r="A384" s="24" t="s">
        <v>156</v>
      </c>
      <c r="B384" s="23" t="n">
        <v>44064</v>
      </c>
      <c r="C384" s="11" t="s">
        <v>117</v>
      </c>
      <c r="D384" s="24" t="str">
        <f aca="false">VLOOKUP(SALIDAS[[Código Producto ]],PRODUCTOS[],2,0)</f>
        <v>Tocino Ahumado Redondo  x 200g (ROJO)</v>
      </c>
      <c r="E384" s="24" t="n">
        <v>30</v>
      </c>
      <c r="F384" s="0" t="n">
        <f aca="false">SALIDAS[[#This Row],[Cantidad ]]*0.2</f>
        <v>6</v>
      </c>
    </row>
    <row r="385" customFormat="false" ht="15.75" hidden="false" customHeight="false" outlineLevel="0" collapsed="false">
      <c r="A385" s="24" t="s">
        <v>156</v>
      </c>
      <c r="B385" s="23" t="n">
        <v>44064</v>
      </c>
      <c r="C385" s="7" t="s">
        <v>121</v>
      </c>
      <c r="D385" s="24" t="str">
        <f aca="false">VLOOKUP(SALIDAS[[Código Producto ]],PRODUCTOS[],2,0)</f>
        <v>Tocino ahumado Redondo x 500g (ROJO)</v>
      </c>
      <c r="E385" s="24" t="n">
        <v>5</v>
      </c>
      <c r="F385" s="0" t="n">
        <f aca="false">SALIDAS[[#This Row],[Cantidad ]]*0.5</f>
        <v>2.5</v>
      </c>
    </row>
    <row r="386" customFormat="false" ht="15.75" hidden="false" customHeight="false" outlineLevel="0" collapsed="false">
      <c r="A386" s="24" t="s">
        <v>156</v>
      </c>
      <c r="B386" s="23" t="n">
        <v>44064</v>
      </c>
      <c r="C386" s="11" t="s">
        <v>97</v>
      </c>
      <c r="D386" s="24" t="str">
        <f aca="false">VLOOKUP(SALIDAS[[Código Producto ]],PRODUCTOS[],2,0)</f>
        <v>Morcilla Granel x3</v>
      </c>
      <c r="E386" s="24" t="n">
        <v>20</v>
      </c>
      <c r="F386" s="0" t="n">
        <f aca="false">SALIDAS[[#This Row],[Cantidad ]]*0.25</f>
        <v>5</v>
      </c>
    </row>
    <row r="387" customFormat="false" ht="15.75" hidden="false" customHeight="false" outlineLevel="0" collapsed="false">
      <c r="A387" s="24" t="s">
        <v>156</v>
      </c>
      <c r="B387" s="23" t="n">
        <v>44064</v>
      </c>
      <c r="C387" s="7" t="s">
        <v>14</v>
      </c>
      <c r="D387" s="24" t="str">
        <f aca="false">VLOOKUP(SALIDAS[[Código Producto ]],PRODUCTOS[],2,0)</f>
        <v>Chistorra Huachana x 6 unidades 150g</v>
      </c>
      <c r="E387" s="24" t="n">
        <v>8</v>
      </c>
      <c r="F387" s="0" t="n">
        <f aca="false">SALIDAS[[#This Row],[Cantidad ]]*0.15</f>
        <v>1.2</v>
      </c>
    </row>
    <row r="388" customFormat="false" ht="15.75" hidden="false" customHeight="false" outlineLevel="0" collapsed="false">
      <c r="A388" s="24" t="s">
        <v>156</v>
      </c>
      <c r="B388" s="23" t="n">
        <v>44064</v>
      </c>
      <c r="C388" s="11" t="s">
        <v>83</v>
      </c>
      <c r="D388" s="24" t="str">
        <f aca="false">VLOOKUP(SALIDAS[[Código Producto ]],PRODUCTOS[],2,0)</f>
        <v>Jamon Pizza x 500g</v>
      </c>
      <c r="E388" s="24" t="n">
        <v>8</v>
      </c>
      <c r="F388" s="0" t="n">
        <f aca="false">SALIDAS[[#This Row],[Cantidad ]]*0.5</f>
        <v>4</v>
      </c>
    </row>
    <row r="389" customFormat="false" ht="15.75" hidden="false" customHeight="false" outlineLevel="0" collapsed="false">
      <c r="A389" s="24" t="s">
        <v>156</v>
      </c>
      <c r="B389" s="23" t="n">
        <v>44064</v>
      </c>
      <c r="C389" s="7" t="s">
        <v>69</v>
      </c>
      <c r="D389" s="24" t="str">
        <f aca="false">VLOOKUP(SALIDAS[[Código Producto ]],PRODUCTOS[],2,0)</f>
        <v>Jamon del país artesanal 250g</v>
      </c>
      <c r="E389" s="24" t="n">
        <v>15</v>
      </c>
      <c r="F389" s="0" t="n">
        <f aca="false">SALIDAS[[#This Row],[Cantidad ]]*0.25</f>
        <v>3.75</v>
      </c>
    </row>
    <row r="390" customFormat="false" ht="15.75" hidden="false" customHeight="false" outlineLevel="0" collapsed="false">
      <c r="A390" s="24" t="s">
        <v>156</v>
      </c>
      <c r="B390" s="23" t="n">
        <v>44064</v>
      </c>
      <c r="C390" s="11" t="s">
        <v>125</v>
      </c>
      <c r="D390" s="24" t="str">
        <f aca="false">VLOOKUP(SALIDAS[[Código Producto ]],PRODUCTOS[],2,0)</f>
        <v>Vienesa x 5 unidades X 250g</v>
      </c>
      <c r="E390" s="24" t="n">
        <v>10</v>
      </c>
      <c r="F390" s="0" t="n">
        <f aca="false">SALIDAS[[#This Row],[Cantidad ]]*0.25</f>
        <v>2.5</v>
      </c>
    </row>
    <row r="391" customFormat="false" ht="15.75" hidden="false" customHeight="false" outlineLevel="0" collapsed="false">
      <c r="A391" s="24" t="s">
        <v>156</v>
      </c>
      <c r="B391" s="23" t="n">
        <v>44064</v>
      </c>
      <c r="C391" s="7" t="s">
        <v>20</v>
      </c>
      <c r="D391" s="24" t="str">
        <f aca="false">VLOOKUP(SALIDAS[[Código Producto ]],PRODUCTOS[],2,0)</f>
        <v>Chorizo finas hierbas x 4 unidades 400g</v>
      </c>
      <c r="E391" s="24" t="n">
        <v>8</v>
      </c>
      <c r="F391" s="0" t="n">
        <f aca="false">SALIDAS[[#This Row],[Cantidad ]]*0.4</f>
        <v>3.2</v>
      </c>
    </row>
    <row r="392" customFormat="false" ht="15.75" hidden="false" customHeight="false" outlineLevel="0" collapsed="false">
      <c r="A392" s="24" t="s">
        <v>156</v>
      </c>
      <c r="B392" s="23" t="n">
        <v>44064</v>
      </c>
      <c r="C392" s="7" t="s">
        <v>22</v>
      </c>
      <c r="D392" s="24" t="str">
        <f aca="false">VLOOKUP(SALIDAS[[Código Producto ]],PRODUCTOS[],2,0)</f>
        <v>Chorizo finas hierbas x 6 unidades 600g</v>
      </c>
      <c r="E392" s="24" t="n">
        <v>8</v>
      </c>
      <c r="F392" s="0" t="n">
        <f aca="false">SALIDAS[[#This Row],[Cantidad ]]*0.6</f>
        <v>4.8</v>
      </c>
    </row>
    <row r="393" customFormat="false" ht="15.75" hidden="false" customHeight="false" outlineLevel="0" collapsed="false">
      <c r="A393" s="24" t="s">
        <v>156</v>
      </c>
      <c r="B393" s="23" t="n">
        <v>44064</v>
      </c>
      <c r="C393" s="7" t="s">
        <v>26</v>
      </c>
      <c r="D393" s="24" t="str">
        <f aca="false">VLOOKUP(SALIDAS[[Código Producto ]],PRODUCTOS[],2,0)</f>
        <v>Chorizo Oxford x 10 unidades 250g</v>
      </c>
      <c r="E393" s="24" t="n">
        <v>6</v>
      </c>
      <c r="F393" s="0" t="n">
        <f aca="false">SALIDAS[[#This Row],[Cantidad ]]*0.25</f>
        <v>1.5</v>
      </c>
    </row>
    <row r="394" customFormat="false" ht="15.75" hidden="false" customHeight="false" outlineLevel="0" collapsed="false">
      <c r="A394" s="24" t="s">
        <v>156</v>
      </c>
      <c r="B394" s="23" t="n">
        <v>44064</v>
      </c>
      <c r="C394" s="7" t="s">
        <v>28</v>
      </c>
      <c r="D394" s="24" t="str">
        <f aca="false">VLOOKUP(SALIDAS[[Código Producto ]],PRODUCTOS[],2,0)</f>
        <v>Chorizo Oxford x 4 unidades 400g</v>
      </c>
      <c r="E394" s="24" t="n">
        <v>6</v>
      </c>
      <c r="F394" s="0" t="n">
        <f aca="false">SALIDAS[[#This Row],[Cantidad ]]*0.4</f>
        <v>2.4</v>
      </c>
    </row>
    <row r="395" customFormat="false" ht="15.75" hidden="false" customHeight="false" outlineLevel="0" collapsed="false">
      <c r="A395" s="24" t="s">
        <v>156</v>
      </c>
      <c r="B395" s="23" t="n">
        <v>44064</v>
      </c>
      <c r="C395" s="7" t="s">
        <v>30</v>
      </c>
      <c r="D395" s="24" t="str">
        <f aca="false">VLOOKUP(SALIDAS[[Código Producto ]],PRODUCTOS[],2,0)</f>
        <v>Chorizo Oxford x 6 unidades 600g</v>
      </c>
      <c r="E395" s="24" t="n">
        <v>6</v>
      </c>
      <c r="F395" s="0" t="n">
        <f aca="false">SALIDAS[[#This Row],[Cantidad ]]*0.6</f>
        <v>3.6</v>
      </c>
    </row>
    <row r="396" customFormat="false" ht="15" hidden="false" customHeight="false" outlineLevel="0" collapsed="false">
      <c r="A396" s="24" t="s">
        <v>208</v>
      </c>
      <c r="B396" s="23" t="n">
        <v>44046</v>
      </c>
      <c r="C396" s="2" t="s">
        <v>45</v>
      </c>
      <c r="D396" s="24" t="str">
        <f aca="false">VLOOKUP(SALIDAS[[Código Producto ]],PRODUCTOS[],2,0)</f>
        <v>Frankfurter Gastronomico x 5Kg</v>
      </c>
      <c r="E396" s="24" t="n">
        <v>20</v>
      </c>
      <c r="F396" s="0" t="n">
        <f aca="false">SALIDAS[[#This Row],[Cantidad ]]*5</f>
        <v>100</v>
      </c>
    </row>
    <row r="397" customFormat="false" ht="15.75" hidden="false" customHeight="false" outlineLevel="0" collapsed="false">
      <c r="A397" s="24" t="s">
        <v>208</v>
      </c>
      <c r="B397" s="23" t="n">
        <v>44053</v>
      </c>
      <c r="C397" s="7" t="s">
        <v>45</v>
      </c>
      <c r="D397" s="24" t="str">
        <f aca="false">VLOOKUP(SALIDAS[[Código Producto ]],PRODUCTOS[],2,0)</f>
        <v>Frankfurter Gastronomico x 5Kg</v>
      </c>
      <c r="E397" s="24" t="n">
        <v>20</v>
      </c>
      <c r="F397" s="0" t="n">
        <f aca="false">SALIDAS[[#This Row],[Cantidad ]]*5</f>
        <v>100</v>
      </c>
    </row>
    <row r="398" customFormat="false" ht="15.75" hidden="false" customHeight="false" outlineLevel="0" collapsed="false">
      <c r="A398" s="24" t="s">
        <v>208</v>
      </c>
      <c r="B398" s="23" t="n">
        <v>44056</v>
      </c>
      <c r="C398" s="7" t="s">
        <v>45</v>
      </c>
      <c r="D398" s="24" t="str">
        <f aca="false">VLOOKUP(SALIDAS[[Código Producto ]],PRODUCTOS[],2,0)</f>
        <v>Frankfurter Gastronomico x 5Kg</v>
      </c>
      <c r="E398" s="24" t="n">
        <v>15</v>
      </c>
      <c r="F398" s="0" t="n">
        <f aca="false">SALIDAS[[#This Row],[Cantidad ]]*5</f>
        <v>75</v>
      </c>
    </row>
    <row r="399" customFormat="false" ht="15.75" hidden="false" customHeight="false" outlineLevel="0" collapsed="false">
      <c r="A399" s="24" t="s">
        <v>208</v>
      </c>
      <c r="B399" s="23" t="n">
        <v>44060</v>
      </c>
      <c r="C399" s="7" t="s">
        <v>45</v>
      </c>
      <c r="D399" s="24" t="str">
        <f aca="false">VLOOKUP(SALIDAS[[Código Producto ]],PRODUCTOS[],2,0)</f>
        <v>Frankfurter Gastronomico x 5Kg</v>
      </c>
      <c r="E399" s="24" t="n">
        <v>20</v>
      </c>
      <c r="F399" s="0" t="n">
        <f aca="false">SALIDAS[[#This Row],[Cantidad ]]*5</f>
        <v>100</v>
      </c>
    </row>
    <row r="400" customFormat="false" ht="15.75" hidden="false" customHeight="false" outlineLevel="0" collapsed="false">
      <c r="A400" s="24" t="s">
        <v>208</v>
      </c>
      <c r="B400" s="23" t="n">
        <v>44067</v>
      </c>
      <c r="C400" s="7" t="s">
        <v>45</v>
      </c>
      <c r="D400" s="24" t="str">
        <f aca="false">VLOOKUP(SALIDAS[[Código Producto ]],PRODUCTOS[],2,0)</f>
        <v>Frankfurter Gastronomico x 5Kg</v>
      </c>
      <c r="E400" s="24" t="n">
        <v>20</v>
      </c>
      <c r="F400" s="0" t="n">
        <f aca="false">SALIDAS[[#This Row],[Cantidad ]]*5</f>
        <v>100</v>
      </c>
    </row>
    <row r="401" customFormat="false" ht="15" hidden="false" customHeight="false" outlineLevel="0" collapsed="false">
      <c r="A401" s="24" t="s">
        <v>209</v>
      </c>
      <c r="B401" s="23" t="n">
        <v>44067</v>
      </c>
      <c r="C401" s="2" t="s">
        <v>47</v>
      </c>
      <c r="D401" s="24" t="str">
        <f aca="false">VLOOKUP(SALIDAS[[Código Producto ]],PRODUCTOS[],2,0)</f>
        <v>Frankfurter granel x 4 unidades 250g</v>
      </c>
      <c r="E401" s="24" t="n">
        <v>4</v>
      </c>
      <c r="F401" s="0" t="n">
        <f aca="false">SALIDAS[[#This Row],[Cantidad ]]*0.24</f>
        <v>0.96</v>
      </c>
    </row>
    <row r="402" customFormat="false" ht="15.75" hidden="false" customHeight="false" outlineLevel="0" collapsed="false">
      <c r="A402" s="24" t="s">
        <v>209</v>
      </c>
      <c r="B402" s="23" t="n">
        <v>44067</v>
      </c>
      <c r="C402" s="7" t="s">
        <v>115</v>
      </c>
      <c r="D402" s="24" t="str">
        <f aca="false">VLOOKUP(SALIDAS[[Código Producto ]],PRODUCTOS[],2,0)</f>
        <v>Tocino Ahumado Redondo  x 100g (ROJO)</v>
      </c>
      <c r="E402" s="24" t="n">
        <v>10</v>
      </c>
      <c r="F402" s="0" t="n">
        <f aca="false">SALIDAS[[#This Row],[Cantidad ]]*0.1</f>
        <v>1</v>
      </c>
    </row>
    <row r="403" customFormat="false" ht="15" hidden="false" customHeight="false" outlineLevel="0" collapsed="false">
      <c r="A403" s="24" t="s">
        <v>209</v>
      </c>
      <c r="B403" s="23" t="n">
        <v>44067</v>
      </c>
      <c r="C403" s="2" t="s">
        <v>103</v>
      </c>
      <c r="D403" s="24" t="str">
        <f aca="false">VLOOKUP(SALIDAS[[Código Producto ]],PRODUCTOS[],2,0)</f>
        <v>Solomillo x KILO </v>
      </c>
      <c r="E403" s="24" t="n">
        <v>2.77</v>
      </c>
      <c r="F403" s="0" t="n">
        <f aca="false">SALIDAS[[#This Row],[Cantidad ]]</f>
        <v>2.77</v>
      </c>
    </row>
    <row r="404" customFormat="false" ht="15.75" hidden="false" customHeight="false" outlineLevel="0" collapsed="false">
      <c r="A404" s="24" t="s">
        <v>209</v>
      </c>
      <c r="B404" s="23" t="n">
        <v>44067</v>
      </c>
      <c r="C404" s="7" t="s">
        <v>20</v>
      </c>
      <c r="D404" s="24" t="str">
        <f aca="false">VLOOKUP(SALIDAS[[Código Producto ]],PRODUCTOS[],2,0)</f>
        <v>Chorizo finas hierbas x 4 unidades 400g</v>
      </c>
      <c r="E404" s="24" t="n">
        <v>4</v>
      </c>
      <c r="F404" s="0" t="n">
        <f aca="false">SALIDAS[[#This Row],[Cantidad ]]*0.4</f>
        <v>1.6</v>
      </c>
    </row>
    <row r="405" customFormat="false" ht="15.75" hidden="false" customHeight="false" outlineLevel="0" collapsed="false">
      <c r="A405" s="24" t="s">
        <v>210</v>
      </c>
      <c r="B405" s="23" t="n">
        <v>44067</v>
      </c>
      <c r="C405" s="7" t="s">
        <v>20</v>
      </c>
      <c r="D405" s="24" t="str">
        <f aca="false">VLOOKUP(SALIDAS[[Código Producto ]],PRODUCTOS[],2,0)</f>
        <v>Chorizo finas hierbas x 4 unidades 400g</v>
      </c>
      <c r="E405" s="24" t="n">
        <v>2</v>
      </c>
      <c r="F405" s="0" t="n">
        <f aca="false">SALIDAS[[#This Row],[Cantidad ]]*0.4</f>
        <v>0.8</v>
      </c>
    </row>
    <row r="406" customFormat="false" ht="15.75" hidden="false" customHeight="false" outlineLevel="0" collapsed="false">
      <c r="A406" s="24" t="s">
        <v>210</v>
      </c>
      <c r="B406" s="23" t="n">
        <v>44067</v>
      </c>
      <c r="C406" s="7" t="s">
        <v>32</v>
      </c>
      <c r="D406" s="24" t="str">
        <f aca="false">VLOOKUP(SALIDAS[[Código Producto ]],PRODUCTOS[],2,0)</f>
        <v>Chorizo Sweet Spicy 400g</v>
      </c>
      <c r="E406" s="24" t="n">
        <v>2</v>
      </c>
      <c r="F406" s="0" t="n">
        <f aca="false">SALIDAS[[#This Row],[Cantidad ]]*0.4</f>
        <v>0.8</v>
      </c>
    </row>
    <row r="407" customFormat="false" ht="15.75" hidden="false" customHeight="false" outlineLevel="0" collapsed="false">
      <c r="A407" s="24" t="s">
        <v>210</v>
      </c>
      <c r="B407" s="23" t="n">
        <v>44067</v>
      </c>
      <c r="C407" s="7" t="s">
        <v>47</v>
      </c>
      <c r="D407" s="24" t="str">
        <f aca="false">VLOOKUP(SALIDAS[[Código Producto ]],PRODUCTOS[],2,0)</f>
        <v>Frankfurter granel x 4 unidades 250g</v>
      </c>
      <c r="E407" s="24" t="n">
        <v>2</v>
      </c>
      <c r="F407" s="0" t="n">
        <f aca="false">SALIDAS[[#This Row],[Cantidad ]]*0.24</f>
        <v>0.48</v>
      </c>
    </row>
    <row r="408" customFormat="false" ht="15.75" hidden="false" customHeight="false" outlineLevel="0" collapsed="false">
      <c r="A408" s="24" t="s">
        <v>210</v>
      </c>
      <c r="B408" s="23" t="n">
        <v>44067</v>
      </c>
      <c r="C408" s="7" t="s">
        <v>117</v>
      </c>
      <c r="D408" s="24" t="str">
        <f aca="false">VLOOKUP(SALIDAS[[Código Producto ]],PRODUCTOS[],2,0)</f>
        <v>Tocino Ahumado Redondo  x 200g (ROJO)</v>
      </c>
      <c r="E408" s="24" t="n">
        <v>2</v>
      </c>
      <c r="F408" s="0" t="n">
        <f aca="false">SALIDAS[[#This Row],[Cantidad ]]*0.2</f>
        <v>0.4</v>
      </c>
    </row>
    <row r="409" customFormat="false" ht="15.75" hidden="false" customHeight="false" outlineLevel="0" collapsed="false">
      <c r="A409" s="24" t="s">
        <v>210</v>
      </c>
      <c r="B409" s="23" t="n">
        <v>44067</v>
      </c>
      <c r="C409" s="7" t="s">
        <v>77</v>
      </c>
      <c r="D409" s="24" t="str">
        <f aca="false">VLOOKUP(SALIDAS[[Código Producto ]],PRODUCTOS[],2,0)</f>
        <v>Jamon Ingles x 300g </v>
      </c>
      <c r="E409" s="24" t="n">
        <v>2</v>
      </c>
      <c r="F409" s="0" t="n">
        <f aca="false">SALIDAS[[#This Row],[Cantidad ]]*0.3</f>
        <v>0.6</v>
      </c>
    </row>
    <row r="410" customFormat="false" ht="15.75" hidden="false" customHeight="false" outlineLevel="0" collapsed="false">
      <c r="A410" s="24" t="s">
        <v>210</v>
      </c>
      <c r="B410" s="23" t="n">
        <v>44067</v>
      </c>
      <c r="C410" s="7" t="s">
        <v>141</v>
      </c>
      <c r="D410" s="24" t="str">
        <f aca="false">VLOOKUP(SALIDAS[[Código Producto ]],PRODUCTOS[],2,0)</f>
        <v>Jamon La nonna x 300g</v>
      </c>
      <c r="E410" s="24" t="n">
        <v>2</v>
      </c>
      <c r="F410" s="0" t="n">
        <f aca="false">SALIDAS[[#This Row],[Cantidad ]]*0.3</f>
        <v>0.6</v>
      </c>
    </row>
    <row r="411" customFormat="false" ht="15.75" hidden="true" customHeight="false" outlineLevel="0" collapsed="false">
      <c r="A411" s="24" t="s">
        <v>192</v>
      </c>
      <c r="B411" s="23" t="n">
        <v>44067</v>
      </c>
      <c r="C411" s="7" t="s">
        <v>97</v>
      </c>
      <c r="D411" s="24" t="str">
        <f aca="false">VLOOKUP(SALIDAS[[Código Producto ]],PRODUCTOS[],2,0)</f>
        <v>Morcilla Granel x3</v>
      </c>
      <c r="E411" s="24" t="n">
        <v>1</v>
      </c>
      <c r="F411" s="0" t="n">
        <f aca="false">SALIDAS[[#This Row],[Cantidad ]]*0.24</f>
        <v>0.24</v>
      </c>
    </row>
    <row r="412" customFormat="false" ht="15.75" hidden="true" customHeight="false" outlineLevel="0" collapsed="false">
      <c r="A412" s="24" t="s">
        <v>192</v>
      </c>
      <c r="B412" s="23" t="n">
        <v>44067</v>
      </c>
      <c r="C412" s="7" t="s">
        <v>139</v>
      </c>
      <c r="D412" s="24" t="str">
        <f aca="false">VLOOKUP(SALIDAS[[Código Producto ]],PRODUCTOS[],2,0)</f>
        <v>Jamon La nonna x 250g</v>
      </c>
      <c r="E412" s="24" t="n">
        <v>1</v>
      </c>
      <c r="F412" s="0" t="n">
        <f aca="false">SALIDAS[[#This Row],[Cantidad ]]*0.25</f>
        <v>0.25</v>
      </c>
    </row>
    <row r="413" customFormat="false" ht="15.75" hidden="true" customHeight="false" outlineLevel="0" collapsed="false">
      <c r="A413" s="24" t="s">
        <v>192</v>
      </c>
      <c r="B413" s="23" t="n">
        <v>44067</v>
      </c>
      <c r="C413" s="7" t="s">
        <v>69</v>
      </c>
      <c r="D413" s="24" t="str">
        <f aca="false">VLOOKUP(SALIDAS[[Código Producto ]],PRODUCTOS[],2,0)</f>
        <v>Jamon del país artesanal 250g</v>
      </c>
      <c r="E413" s="24" t="n">
        <v>1</v>
      </c>
      <c r="F413" s="0" t="n">
        <f aca="false">SALIDAS[[#This Row],[Cantidad ]]*0.25</f>
        <v>0.25</v>
      </c>
    </row>
    <row r="414" customFormat="false" ht="15.75" hidden="true" customHeight="false" outlineLevel="0" collapsed="false">
      <c r="A414" s="24" t="s">
        <v>192</v>
      </c>
      <c r="B414" s="23" t="n">
        <v>44067</v>
      </c>
      <c r="C414" s="7" t="s">
        <v>32</v>
      </c>
      <c r="D414" s="24" t="str">
        <f aca="false">VLOOKUP(SALIDAS[[Código Producto ]],PRODUCTOS[],2,0)</f>
        <v>Chorizo Sweet Spicy 400g</v>
      </c>
      <c r="E414" s="24" t="n">
        <v>1</v>
      </c>
      <c r="F414" s="0" t="n">
        <f aca="false">SALIDAS[[#This Row],[Cantidad ]]*0.4</f>
        <v>0.4</v>
      </c>
    </row>
    <row r="415" customFormat="false" ht="15.75" hidden="false" customHeight="false" outlineLevel="0" collapsed="false">
      <c r="A415" s="24" t="s">
        <v>182</v>
      </c>
      <c r="B415" s="23" t="n">
        <v>44068</v>
      </c>
      <c r="C415" s="7" t="s">
        <v>125</v>
      </c>
      <c r="D415" s="24" t="str">
        <f aca="false">VLOOKUP(SALIDAS[[Código Producto ]],PRODUCTOS[],2,0)</f>
        <v>Vienesa x 5 unidades X 250g</v>
      </c>
      <c r="E415" s="24" t="n">
        <v>5</v>
      </c>
      <c r="F415" s="0" t="n">
        <f aca="false">SALIDAS[[#This Row],[Cantidad ]]*0.25</f>
        <v>1.25</v>
      </c>
    </row>
    <row r="416" customFormat="false" ht="15.75" hidden="false" customHeight="false" outlineLevel="0" collapsed="false">
      <c r="A416" s="24" t="s">
        <v>182</v>
      </c>
      <c r="B416" s="23" t="n">
        <v>44068</v>
      </c>
      <c r="C416" s="7" t="s">
        <v>41</v>
      </c>
      <c r="D416" s="24" t="str">
        <f aca="false">VLOOKUP(SALIDAS[[Código Producto ]],PRODUCTOS[],2,0)</f>
        <v>Frankfurter cocktail x 10 unidades x 250g</v>
      </c>
      <c r="E416" s="24" t="n">
        <v>1</v>
      </c>
      <c r="F416" s="0" t="n">
        <f aca="false">SALIDAS[[#This Row],[Cantidad ]]*0.25</f>
        <v>0.25</v>
      </c>
    </row>
    <row r="417" customFormat="false" ht="15.75" hidden="false" customHeight="false" outlineLevel="0" collapsed="false">
      <c r="A417" s="24" t="s">
        <v>182</v>
      </c>
      <c r="B417" s="23" t="n">
        <v>44068</v>
      </c>
      <c r="C417" s="7" t="s">
        <v>43</v>
      </c>
      <c r="D417" s="24" t="str">
        <f aca="false">VLOOKUP(SALIDAS[[Código Producto ]],PRODUCTOS[],2,0)</f>
        <v>Frankfurter Gastronomico x 2Kg</v>
      </c>
      <c r="E417" s="24" t="n">
        <v>1</v>
      </c>
      <c r="F417" s="0" t="n">
        <f aca="false">SALIDAS[[#This Row],[Cantidad ]]*2</f>
        <v>2</v>
      </c>
    </row>
    <row r="418" customFormat="false" ht="15.75" hidden="true" customHeight="false" outlineLevel="0" collapsed="false">
      <c r="A418" s="24" t="s">
        <v>211</v>
      </c>
      <c r="B418" s="23" t="n">
        <v>44069</v>
      </c>
      <c r="C418" s="7" t="s">
        <v>79</v>
      </c>
      <c r="D418" s="24" t="str">
        <f aca="false">VLOOKUP(SALIDAS[[Código Producto ]],PRODUCTOS[],2,0)</f>
        <v>Jamon pizza  x 3.2 Kg (Entero)</v>
      </c>
      <c r="E418" s="28" t="n">
        <v>3150</v>
      </c>
      <c r="F418" s="0" t="n">
        <f aca="false">SALIDAS[[#This Row],[Cantidad ]]</f>
        <v>3150</v>
      </c>
    </row>
    <row r="419" customFormat="false" ht="15.75" hidden="false" customHeight="false" outlineLevel="0" collapsed="false">
      <c r="A419" s="24" t="s">
        <v>169</v>
      </c>
      <c r="B419" s="23" t="n">
        <v>44069</v>
      </c>
      <c r="C419" s="7" t="s">
        <v>73</v>
      </c>
      <c r="D419" s="24" t="str">
        <f aca="false">VLOOKUP(SALIDAS[[Código Producto ]],PRODUCTOS[],2,0)</f>
        <v>Jamon Ingles (Entero)</v>
      </c>
      <c r="E419" s="24" t="n">
        <v>4.43</v>
      </c>
      <c r="F419" s="0" t="n">
        <f aca="false">SALIDAS[[#This Row],[Cantidad ]]</f>
        <v>4.43</v>
      </c>
    </row>
    <row r="420" customFormat="false" ht="15.75" hidden="false" customHeight="false" outlineLevel="0" collapsed="false">
      <c r="A420" s="24" t="s">
        <v>169</v>
      </c>
      <c r="B420" s="23" t="n">
        <v>44069</v>
      </c>
      <c r="C420" s="7" t="s">
        <v>20</v>
      </c>
      <c r="D420" s="24" t="str">
        <f aca="false">VLOOKUP(SALIDAS[[Código Producto ]],PRODUCTOS[],2,0)</f>
        <v>Chorizo finas hierbas x 4 unidades 400g</v>
      </c>
      <c r="E420" s="24" t="n">
        <v>5</v>
      </c>
      <c r="F420" s="0" t="n">
        <f aca="false">SALIDAS[[#This Row],[Cantidad ]]*0.4</f>
        <v>2</v>
      </c>
    </row>
    <row r="421" customFormat="false" ht="15.75" hidden="false" customHeight="false" outlineLevel="0" collapsed="false">
      <c r="A421" s="24" t="s">
        <v>169</v>
      </c>
      <c r="B421" s="23" t="n">
        <v>44069</v>
      </c>
      <c r="C421" s="7" t="s">
        <v>28</v>
      </c>
      <c r="D421" s="24" t="str">
        <f aca="false">VLOOKUP(SALIDAS[[Código Producto ]],PRODUCTOS[],2,0)</f>
        <v>Chorizo Oxford x 4 unidades 400g</v>
      </c>
      <c r="E421" s="24" t="n">
        <v>5</v>
      </c>
      <c r="F421" s="0" t="n">
        <f aca="false">SALIDAS[[#This Row],[Cantidad ]]*0.4</f>
        <v>2</v>
      </c>
    </row>
    <row r="422" customFormat="false" ht="15.75" hidden="false" customHeight="false" outlineLevel="0" collapsed="false">
      <c r="A422" s="24" t="s">
        <v>169</v>
      </c>
      <c r="B422" s="23" t="n">
        <v>44069</v>
      </c>
      <c r="C422" s="7" t="s">
        <v>41</v>
      </c>
      <c r="D422" s="24" t="str">
        <f aca="false">VLOOKUP(SALIDAS[[Código Producto ]],PRODUCTOS[],2,0)</f>
        <v>Frankfurter cocktail x 10 unidades x 250g</v>
      </c>
      <c r="E422" s="24" t="n">
        <v>5</v>
      </c>
      <c r="F422" s="0" t="n">
        <f aca="false">SALIDAS[[#This Row],[Cantidad ]]*0.25</f>
        <v>1.25</v>
      </c>
    </row>
    <row r="423" customFormat="false" ht="15.75" hidden="false" customHeight="false" outlineLevel="0" collapsed="false">
      <c r="A423" s="24" t="s">
        <v>169</v>
      </c>
      <c r="B423" s="23" t="n">
        <v>44069</v>
      </c>
      <c r="C423" s="7" t="s">
        <v>47</v>
      </c>
      <c r="D423" s="24" t="str">
        <f aca="false">VLOOKUP(SALIDAS[[Código Producto ]],PRODUCTOS[],2,0)</f>
        <v>Frankfurter granel x 4 unidades 250g</v>
      </c>
      <c r="E423" s="24" t="n">
        <v>5</v>
      </c>
      <c r="F423" s="0" t="n">
        <f aca="false">SALIDAS[[#This Row],[Cantidad ]]*0.24</f>
        <v>1.2</v>
      </c>
    </row>
    <row r="424" customFormat="false" ht="15.75" hidden="false" customHeight="false" outlineLevel="0" collapsed="false">
      <c r="A424" s="24" t="s">
        <v>169</v>
      </c>
      <c r="B424" s="23" t="n">
        <v>44069</v>
      </c>
      <c r="C424" s="7" t="s">
        <v>49</v>
      </c>
      <c r="D424" s="24" t="str">
        <f aca="false">VLOOKUP(SALIDAS[[Código Producto ]],PRODUCTOS[],2,0)</f>
        <v>Frankfurter municipal x 3 unidades </v>
      </c>
      <c r="E424" s="24" t="n">
        <v>5</v>
      </c>
      <c r="F424" s="0" t="n">
        <f aca="false">SALIDAS[[#This Row],[Cantidad ]]*0.45</f>
        <v>2.25</v>
      </c>
    </row>
    <row r="425" customFormat="false" ht="15.75" hidden="false" customHeight="false" outlineLevel="0" collapsed="false">
      <c r="A425" s="24" t="s">
        <v>203</v>
      </c>
      <c r="B425" s="23" t="n">
        <v>44069</v>
      </c>
      <c r="C425" s="7" t="s">
        <v>30</v>
      </c>
      <c r="D425" s="24" t="str">
        <f aca="false">VLOOKUP(SALIDAS[[Código Producto ]],PRODUCTOS[],2,0)</f>
        <v>Chorizo Oxford x 6 unidades 600g</v>
      </c>
      <c r="E425" s="24" t="n">
        <v>10</v>
      </c>
      <c r="F425" s="0" t="n">
        <f aca="false">SALIDAS[[#This Row],[Cantidad ]]*0.6</f>
        <v>6</v>
      </c>
    </row>
    <row r="426" customFormat="false" ht="15.75" hidden="false" customHeight="false" outlineLevel="0" collapsed="false">
      <c r="A426" s="24" t="s">
        <v>156</v>
      </c>
      <c r="B426" s="23" t="n">
        <v>44069</v>
      </c>
      <c r="C426" s="7" t="s">
        <v>26</v>
      </c>
      <c r="D426" s="24" t="str">
        <f aca="false">VLOOKUP(SALIDAS[[Código Producto ]],PRODUCTOS[],2,0)</f>
        <v>Chorizo Oxford x 10 unidades 250g</v>
      </c>
      <c r="E426" s="24" t="n">
        <v>6</v>
      </c>
      <c r="F426" s="0" t="n">
        <f aca="false">SALIDAS[[#This Row],[Cantidad ]]*0.25</f>
        <v>1.5</v>
      </c>
    </row>
    <row r="427" customFormat="false" ht="15.75" hidden="false" customHeight="false" outlineLevel="0" collapsed="false">
      <c r="A427" s="24" t="s">
        <v>156</v>
      </c>
      <c r="B427" s="23" t="n">
        <v>44069</v>
      </c>
      <c r="C427" s="7" t="s">
        <v>20</v>
      </c>
      <c r="D427" s="24" t="str">
        <f aca="false">VLOOKUP(SALIDAS[[Código Producto ]],PRODUCTOS[],2,0)</f>
        <v>Chorizo finas hierbas x 4 unidades 400g</v>
      </c>
      <c r="E427" s="24" t="n">
        <v>5</v>
      </c>
      <c r="F427" s="0" t="n">
        <f aca="false">SALIDAS[[#This Row],[Cantidad ]]*0.4</f>
        <v>2</v>
      </c>
    </row>
    <row r="428" customFormat="false" ht="15.75" hidden="false" customHeight="false" outlineLevel="0" collapsed="false">
      <c r="A428" s="24" t="s">
        <v>156</v>
      </c>
      <c r="B428" s="23" t="n">
        <v>44069</v>
      </c>
      <c r="C428" s="7" t="s">
        <v>41</v>
      </c>
      <c r="D428" s="24" t="str">
        <f aca="false">VLOOKUP(SALIDAS[[Código Producto ]],PRODUCTOS[],2,0)</f>
        <v>Frankfurter cocktail x 10 unidades x 250g</v>
      </c>
      <c r="E428" s="24" t="n">
        <v>16</v>
      </c>
      <c r="F428" s="0" t="n">
        <f aca="false">SALIDAS[[#This Row],[Cantidad ]]*0.25</f>
        <v>4</v>
      </c>
    </row>
    <row r="429" customFormat="false" ht="15.75" hidden="false" customHeight="false" outlineLevel="0" collapsed="false">
      <c r="A429" s="24" t="s">
        <v>156</v>
      </c>
      <c r="B429" s="23" t="n">
        <v>44069</v>
      </c>
      <c r="C429" s="7" t="s">
        <v>47</v>
      </c>
      <c r="D429" s="24" t="str">
        <f aca="false">VLOOKUP(SALIDAS[[Código Producto ]],PRODUCTOS[],2,0)</f>
        <v>Frankfurter granel x 4 unidades 250g</v>
      </c>
      <c r="E429" s="24" t="n">
        <v>10</v>
      </c>
      <c r="F429" s="0" t="n">
        <f aca="false">SALIDAS[[#This Row],[Cantidad ]]*0.24</f>
        <v>2.4</v>
      </c>
    </row>
    <row r="430" customFormat="false" ht="15.75" hidden="false" customHeight="false" outlineLevel="0" collapsed="false">
      <c r="A430" s="24" t="s">
        <v>156</v>
      </c>
      <c r="B430" s="23" t="n">
        <v>44069</v>
      </c>
      <c r="C430" s="7" t="s">
        <v>125</v>
      </c>
      <c r="D430" s="24" t="str">
        <f aca="false">VLOOKUP(SALIDAS[[Código Producto ]],PRODUCTOS[],2,0)</f>
        <v>Vienesa x 5 unidades X 250g</v>
      </c>
      <c r="E430" s="24" t="n">
        <v>10</v>
      </c>
      <c r="F430" s="0" t="n">
        <f aca="false">SALIDAS[[#This Row],[Cantidad ]]*0.25</f>
        <v>2.5</v>
      </c>
    </row>
    <row r="431" customFormat="false" ht="15.75" hidden="false" customHeight="false" outlineLevel="0" collapsed="false">
      <c r="A431" s="24" t="s">
        <v>156</v>
      </c>
      <c r="B431" s="23" t="n">
        <v>44069</v>
      </c>
      <c r="C431" s="7" t="s">
        <v>97</v>
      </c>
      <c r="D431" s="24" t="str">
        <f aca="false">VLOOKUP(SALIDAS[[Código Producto ]],PRODUCTOS[],2,0)</f>
        <v>Morcilla Granel x3</v>
      </c>
      <c r="E431" s="24" t="n">
        <v>20</v>
      </c>
      <c r="F431" s="0" t="n">
        <f aca="false">SALIDAS[[#This Row],[Cantidad ]]*0.24</f>
        <v>4.8</v>
      </c>
    </row>
    <row r="432" customFormat="false" ht="15.75" hidden="false" customHeight="false" outlineLevel="0" collapsed="false">
      <c r="A432" s="24" t="s">
        <v>156</v>
      </c>
      <c r="B432" s="23" t="n">
        <v>44069</v>
      </c>
      <c r="C432" s="7" t="s">
        <v>117</v>
      </c>
      <c r="D432" s="24" t="str">
        <f aca="false">VLOOKUP(SALIDAS[[Código Producto ]],PRODUCTOS[],2,0)</f>
        <v>Tocino Ahumado Redondo  x 200g (ROJO)</v>
      </c>
      <c r="E432" s="24" t="n">
        <v>30</v>
      </c>
      <c r="F432" s="0" t="n">
        <f aca="false">SALIDAS[[#This Row],[Cantidad ]]*0.2</f>
        <v>6</v>
      </c>
    </row>
    <row r="433" customFormat="false" ht="15.75" hidden="false" customHeight="false" outlineLevel="0" collapsed="false">
      <c r="A433" s="24" t="s">
        <v>156</v>
      </c>
      <c r="B433" s="23" t="n">
        <v>44069</v>
      </c>
      <c r="C433" s="7" t="s">
        <v>121</v>
      </c>
      <c r="D433" s="24" t="str">
        <f aca="false">VLOOKUP(SALIDAS[[Código Producto ]],PRODUCTOS[],2,0)</f>
        <v>Tocino ahumado Redondo x 500g (ROJO)</v>
      </c>
      <c r="E433" s="24" t="n">
        <v>4</v>
      </c>
      <c r="F433" s="0" t="n">
        <f aca="false">SALIDAS[[#This Row],[Cantidad ]]*0.5</f>
        <v>2</v>
      </c>
    </row>
    <row r="434" customFormat="false" ht="15.75" hidden="false" customHeight="false" outlineLevel="0" collapsed="false">
      <c r="A434" s="24" t="s">
        <v>156</v>
      </c>
      <c r="B434" s="23" t="n">
        <v>44069</v>
      </c>
      <c r="C434" s="7" t="s">
        <v>75</v>
      </c>
      <c r="D434" s="24" t="str">
        <f aca="false">VLOOKUP(SALIDAS[[Código Producto ]],PRODUCTOS[],2,0)</f>
        <v>Jamon Ingles x 250g</v>
      </c>
      <c r="E434" s="24" t="n">
        <v>6</v>
      </c>
      <c r="F434" s="0" t="n">
        <f aca="false">SALIDAS[[#This Row],[Cantidad ]]*0.25</f>
        <v>1.5</v>
      </c>
    </row>
    <row r="435" customFormat="false" ht="15.75" hidden="false" customHeight="false" outlineLevel="0" collapsed="false">
      <c r="A435" s="24" t="s">
        <v>156</v>
      </c>
      <c r="B435" s="23" t="n">
        <v>44069</v>
      </c>
      <c r="C435" s="7" t="s">
        <v>93</v>
      </c>
      <c r="D435" s="24" t="str">
        <f aca="false">VLOOKUP(SALIDAS[[Código Producto ]],PRODUCTOS[],2,0)</f>
        <v>Longaniza Huachana x 350g</v>
      </c>
      <c r="E435" s="24" t="n">
        <v>2</v>
      </c>
      <c r="F435" s="0" t="n">
        <f aca="false">SALIDAS[[#This Row],[Cantidad ]]*0.34</f>
        <v>0.68</v>
      </c>
    </row>
    <row r="436" customFormat="false" ht="15.75" hidden="false" customHeight="false" outlineLevel="0" collapsed="false">
      <c r="A436" s="24" t="s">
        <v>166</v>
      </c>
      <c r="B436" s="23" t="n">
        <v>44069</v>
      </c>
      <c r="C436" s="7" t="s">
        <v>8</v>
      </c>
      <c r="D436" s="24" t="str">
        <f aca="false">VLOOKUP(SALIDAS[[Código Producto ]],PRODUCTOS[],2,0)</f>
        <v>Bratwurst x 4 unidades 320g </v>
      </c>
      <c r="E436" s="24" t="n">
        <v>7</v>
      </c>
      <c r="F436" s="0" t="n">
        <f aca="false">SALIDAS[[#This Row],[Cantidad ]]*0.32</f>
        <v>2.24</v>
      </c>
    </row>
    <row r="437" customFormat="false" ht="15.75" hidden="false" customHeight="false" outlineLevel="0" collapsed="false">
      <c r="A437" s="24" t="s">
        <v>166</v>
      </c>
      <c r="B437" s="23" t="n">
        <v>44069</v>
      </c>
      <c r="C437" s="7" t="s">
        <v>125</v>
      </c>
      <c r="D437" s="24" t="str">
        <f aca="false">VLOOKUP(SALIDAS[[Código Producto ]],PRODUCTOS[],2,0)</f>
        <v>Vienesa x 5 unidades X 250g</v>
      </c>
      <c r="E437" s="24" t="n">
        <v>8</v>
      </c>
      <c r="F437" s="0" t="n">
        <f aca="false">SALIDAS[[#This Row],[Cantidad ]]*0.25</f>
        <v>2</v>
      </c>
    </row>
    <row r="438" customFormat="false" ht="15.75" hidden="false" customHeight="false" outlineLevel="0" collapsed="false">
      <c r="A438" s="24" t="s">
        <v>166</v>
      </c>
      <c r="B438" s="23" t="n">
        <v>44069</v>
      </c>
      <c r="C438" s="7" t="s">
        <v>93</v>
      </c>
      <c r="D438" s="24" t="str">
        <f aca="false">VLOOKUP(SALIDAS[[Código Producto ]],PRODUCTOS[],2,0)</f>
        <v>Longaniza Huachana x 350g</v>
      </c>
      <c r="E438" s="24" t="n">
        <v>2</v>
      </c>
      <c r="F438" s="0" t="n">
        <f aca="false">SALIDAS[[#This Row],[Cantidad ]]*0.34</f>
        <v>0.68</v>
      </c>
    </row>
    <row r="439" customFormat="false" ht="15.75" hidden="false" customHeight="false" outlineLevel="0" collapsed="false">
      <c r="A439" s="24" t="s">
        <v>212</v>
      </c>
      <c r="B439" s="23" t="n">
        <v>44069</v>
      </c>
      <c r="C439" s="7" t="s">
        <v>83</v>
      </c>
      <c r="D439" s="24" t="str">
        <f aca="false">VLOOKUP(SALIDAS[[Código Producto ]],PRODUCTOS[],2,0)</f>
        <v>Jamon Pizza x 500g</v>
      </c>
      <c r="E439" s="24" t="n">
        <v>20</v>
      </c>
      <c r="F439" s="0" t="n">
        <f aca="false">SALIDAS[[#This Row],[Cantidad ]]*0.5</f>
        <v>10</v>
      </c>
    </row>
    <row r="440" customFormat="false" ht="15.75" hidden="false" customHeight="false" outlineLevel="0" collapsed="false">
      <c r="A440" s="24" t="s">
        <v>212</v>
      </c>
      <c r="B440" s="23" t="n">
        <v>44069</v>
      </c>
      <c r="C440" s="7" t="s">
        <v>6</v>
      </c>
      <c r="D440" s="24" t="str">
        <f aca="false">VLOOKUP(SALIDAS[[Código Producto ]],PRODUCTOS[],2,0)</f>
        <v>Bondiola X Kg</v>
      </c>
      <c r="E440" s="24" t="n">
        <v>10</v>
      </c>
      <c r="F440" s="0" t="n">
        <f aca="false">SALIDAS[[#This Row],[Cantidad ]]</f>
        <v>10</v>
      </c>
    </row>
    <row r="441" customFormat="false" ht="15.75" hidden="false" customHeight="false" outlineLevel="0" collapsed="false">
      <c r="A441" s="24" t="s">
        <v>212</v>
      </c>
      <c r="B441" s="23" t="n">
        <v>44069</v>
      </c>
      <c r="C441" s="7" t="s">
        <v>91</v>
      </c>
      <c r="D441" s="24" t="str">
        <f aca="false">VLOOKUP(SALIDAS[[Código Producto ]],PRODUCTOS[],2,0)</f>
        <v>Lomo Ahumado x 500g</v>
      </c>
      <c r="E441" s="24" t="n">
        <v>6</v>
      </c>
      <c r="F441" s="0" t="n">
        <f aca="false">SALIDAS[[#This Row],[Cantidad ]]*0.5</f>
        <v>3</v>
      </c>
    </row>
    <row r="442" customFormat="false" ht="15.75" hidden="false" customHeight="false" outlineLevel="0" collapsed="false">
      <c r="A442" s="24" t="s">
        <v>182</v>
      </c>
      <c r="B442" s="23" t="n">
        <v>44069</v>
      </c>
      <c r="C442" s="7" t="s">
        <v>47</v>
      </c>
      <c r="D442" s="24" t="str">
        <f aca="false">VLOOKUP(SALIDAS[[Código Producto ]],PRODUCTOS[],2,0)</f>
        <v>Frankfurter granel x 4 unidades 250g</v>
      </c>
      <c r="E442" s="24" t="n">
        <v>15</v>
      </c>
      <c r="F442" s="0" t="n">
        <f aca="false">SALIDAS[[#This Row],[Cantidad ]]*0.24</f>
        <v>3.6</v>
      </c>
    </row>
    <row r="443" customFormat="false" ht="15.75" hidden="false" customHeight="false" outlineLevel="0" collapsed="false">
      <c r="A443" s="24" t="s">
        <v>182</v>
      </c>
      <c r="B443" s="23" t="n">
        <v>44069</v>
      </c>
      <c r="C443" s="7" t="s">
        <v>125</v>
      </c>
      <c r="D443" s="24" t="str">
        <f aca="false">VLOOKUP(SALIDAS[[Código Producto ]],PRODUCTOS[],2,0)</f>
        <v>Vienesa x 5 unidades X 250g</v>
      </c>
      <c r="E443" s="24" t="n">
        <v>10</v>
      </c>
      <c r="F443" s="0" t="n">
        <f aca="false">SALIDAS[[#This Row],[Cantidad ]]*0.25</f>
        <v>2.5</v>
      </c>
    </row>
    <row r="444" customFormat="false" ht="15.75" hidden="false" customHeight="false" outlineLevel="0" collapsed="false">
      <c r="A444" s="24" t="s">
        <v>182</v>
      </c>
      <c r="B444" s="23" t="n">
        <v>44069</v>
      </c>
      <c r="C444" s="7" t="s">
        <v>8</v>
      </c>
      <c r="D444" s="24" t="str">
        <f aca="false">VLOOKUP(SALIDAS[[Código Producto ]],PRODUCTOS[],2,0)</f>
        <v>Bratwurst x 4 unidades 320g </v>
      </c>
      <c r="E444" s="24" t="n">
        <v>6</v>
      </c>
      <c r="F444" s="0" t="n">
        <f aca="false">SALIDAS[[#This Row],[Cantidad ]]*0.32</f>
        <v>1.92</v>
      </c>
    </row>
    <row r="445" customFormat="false" ht="15.75" hidden="false" customHeight="false" outlineLevel="0" collapsed="false">
      <c r="A445" s="24" t="s">
        <v>182</v>
      </c>
      <c r="B445" s="23" t="n">
        <v>44069</v>
      </c>
      <c r="C445" s="7" t="s">
        <v>41</v>
      </c>
      <c r="D445" s="24" t="str">
        <f aca="false">VLOOKUP(SALIDAS[[Código Producto ]],PRODUCTOS[],2,0)</f>
        <v>Frankfurter cocktail x 10 unidades x 250g</v>
      </c>
      <c r="E445" s="24" t="n">
        <v>3</v>
      </c>
      <c r="F445" s="0" t="n">
        <f aca="false">SALIDAS[[#This Row],[Cantidad ]]*0.25</f>
        <v>0.75</v>
      </c>
    </row>
    <row r="446" customFormat="false" ht="15.75" hidden="false" customHeight="false" outlineLevel="0" collapsed="false">
      <c r="A446" s="24" t="s">
        <v>213</v>
      </c>
      <c r="B446" s="23" t="n">
        <v>44069</v>
      </c>
      <c r="C446" s="7" t="s">
        <v>97</v>
      </c>
      <c r="D446" s="24" t="str">
        <f aca="false">VLOOKUP(SALIDAS[[Código Producto ]],PRODUCTOS[],2,0)</f>
        <v>Morcilla Granel x3</v>
      </c>
      <c r="E446" s="24" t="n">
        <v>1</v>
      </c>
      <c r="F446" s="0" t="n">
        <f aca="false">SALIDAS[[#This Row],[Cantidad ]]*0.24</f>
        <v>0.24</v>
      </c>
    </row>
    <row r="447" customFormat="false" ht="15.75" hidden="false" customHeight="false" outlineLevel="0" collapsed="false">
      <c r="A447" s="24" t="s">
        <v>213</v>
      </c>
      <c r="B447" s="23" t="n">
        <v>44069</v>
      </c>
      <c r="C447" s="7" t="s">
        <v>95</v>
      </c>
      <c r="D447" s="24" t="str">
        <f aca="false">VLOOKUP(SALIDAS[[Código Producto ]],PRODUCTOS[],2,0)</f>
        <v>Morcilla Cocktail x10</v>
      </c>
      <c r="E447" s="24" t="n">
        <v>1</v>
      </c>
      <c r="F447" s="0" t="n">
        <f aca="false">SALIDAS[[#This Row],[Cantidad ]]*0.25</f>
        <v>0.25</v>
      </c>
    </row>
    <row r="448" customFormat="false" ht="15.75" hidden="false" customHeight="false" outlineLevel="0" collapsed="false">
      <c r="A448" s="24" t="s">
        <v>213</v>
      </c>
      <c r="B448" s="23" t="n">
        <v>44069</v>
      </c>
      <c r="C448" s="7" t="s">
        <v>8</v>
      </c>
      <c r="D448" s="24" t="str">
        <f aca="false">VLOOKUP(SALIDAS[[Código Producto ]],PRODUCTOS[],2,0)</f>
        <v>Bratwurst x 4 unidades 320g </v>
      </c>
      <c r="E448" s="24" t="n">
        <v>2</v>
      </c>
      <c r="F448" s="0" t="n">
        <f aca="false">SALIDAS[[#This Row],[Cantidad ]]*0.32</f>
        <v>0.64</v>
      </c>
    </row>
    <row r="449" customFormat="false" ht="15.75" hidden="false" customHeight="false" outlineLevel="0" collapsed="false">
      <c r="A449" s="24" t="s">
        <v>213</v>
      </c>
      <c r="B449" s="23" t="n">
        <v>44069</v>
      </c>
      <c r="C449" s="7" t="s">
        <v>26</v>
      </c>
      <c r="D449" s="24" t="str">
        <f aca="false">VLOOKUP(SALIDAS[[Código Producto ]],PRODUCTOS[],2,0)</f>
        <v>Chorizo Oxford x 10 unidades 250g</v>
      </c>
      <c r="E449" s="24" t="n">
        <v>1</v>
      </c>
      <c r="F449" s="0" t="n">
        <f aca="false">SALIDAS[[#This Row],[Cantidad ]]*0.25</f>
        <v>0.25</v>
      </c>
    </row>
    <row r="450" customFormat="false" ht="15.75" hidden="false" customHeight="false" outlineLevel="0" collapsed="false">
      <c r="A450" s="24" t="s">
        <v>213</v>
      </c>
      <c r="B450" s="23" t="n">
        <v>44069</v>
      </c>
      <c r="C450" s="7" t="s">
        <v>18</v>
      </c>
      <c r="D450" s="24" t="str">
        <f aca="false">VLOOKUP(SALIDAS[[Código Producto ]],PRODUCTOS[],2,0)</f>
        <v>Chorizo finas hierbas x 10 unidades 250g</v>
      </c>
      <c r="E450" s="24" t="n">
        <v>1</v>
      </c>
      <c r="F450" s="0" t="n">
        <f aca="false">SALIDAS[[#This Row],[Cantidad ]]*0.25</f>
        <v>0.25</v>
      </c>
    </row>
    <row r="451" customFormat="false" ht="15.75" hidden="false" customHeight="false" outlineLevel="0" collapsed="false">
      <c r="A451" s="24" t="s">
        <v>213</v>
      </c>
      <c r="B451" s="23" t="n">
        <v>44069</v>
      </c>
      <c r="C451" s="7" t="s">
        <v>47</v>
      </c>
      <c r="D451" s="24" t="str">
        <f aca="false">VLOOKUP(SALIDAS[[Código Producto ]],PRODUCTOS[],2,0)</f>
        <v>Frankfurter granel x 4 unidades 250g</v>
      </c>
      <c r="E451" s="24" t="n">
        <v>1</v>
      </c>
      <c r="F451" s="0" t="n">
        <f aca="false">SALIDAS[[#This Row],[Cantidad ]]*0.24</f>
        <v>0.24</v>
      </c>
    </row>
    <row r="452" customFormat="false" ht="15.75" hidden="false" customHeight="false" outlineLevel="0" collapsed="false">
      <c r="A452" s="24" t="s">
        <v>213</v>
      </c>
      <c r="B452" s="23" t="n">
        <v>44069</v>
      </c>
      <c r="C452" s="7" t="s">
        <v>14</v>
      </c>
      <c r="D452" s="24" t="str">
        <f aca="false">VLOOKUP(SALIDAS[[Código Producto ]],PRODUCTOS[],2,0)</f>
        <v>Chistorra Huachana x 6 unidades 150g</v>
      </c>
      <c r="E452" s="24" t="n">
        <v>1</v>
      </c>
      <c r="F452" s="0" t="n">
        <f aca="false">SALIDAS[[#This Row],[Cantidad ]]*0.15</f>
        <v>0.15</v>
      </c>
    </row>
    <row r="453" customFormat="false" ht="15.75" hidden="false" customHeight="false" outlineLevel="0" collapsed="false">
      <c r="A453" s="24" t="s">
        <v>214</v>
      </c>
      <c r="B453" s="23" t="n">
        <v>44069</v>
      </c>
      <c r="C453" s="7" t="s">
        <v>123</v>
      </c>
      <c r="D453" s="24" t="str">
        <f aca="false">VLOOKUP(SALIDAS[[Código Producto ]],PRODUCTOS[],2,0)</f>
        <v>Vienesa x 1 kilo </v>
      </c>
      <c r="E453" s="24" t="n">
        <v>52</v>
      </c>
      <c r="F453" s="0" t="n">
        <f aca="false">SALIDAS[[#This Row],[Cantidad ]]</f>
        <v>52</v>
      </c>
    </row>
    <row r="454" customFormat="false" ht="15.75" hidden="false" customHeight="false" outlineLevel="0" collapsed="false">
      <c r="A454" s="24" t="s">
        <v>215</v>
      </c>
      <c r="B454" s="23" t="n">
        <v>44069</v>
      </c>
      <c r="C454" s="7" t="s">
        <v>77</v>
      </c>
      <c r="D454" s="24" t="str">
        <f aca="false">VLOOKUP(SALIDAS[[Código Producto ]],PRODUCTOS[],2,0)</f>
        <v>Jamon Ingles x 300g </v>
      </c>
      <c r="E454" s="24" t="n">
        <v>1</v>
      </c>
      <c r="F454" s="0" t="n">
        <f aca="false">SALIDAS[[#This Row],[Cantidad ]]*0.3</f>
        <v>0.3</v>
      </c>
    </row>
    <row r="455" customFormat="false" ht="15.75" hidden="false" customHeight="false" outlineLevel="0" collapsed="false">
      <c r="A455" s="24" t="s">
        <v>215</v>
      </c>
      <c r="B455" s="23" t="n">
        <v>44069</v>
      </c>
      <c r="C455" s="7" t="s">
        <v>36</v>
      </c>
      <c r="D455" s="24" t="str">
        <f aca="false">VLOOKUP(SALIDAS[[Código Producto ]],PRODUCTOS[],2,0)</f>
        <v>Cordero Franz Doner Kebab Lamb </v>
      </c>
      <c r="E455" s="24" t="n">
        <v>3</v>
      </c>
      <c r="F455" s="0" t="n">
        <f aca="false">SALIDAS[[#This Row],[Cantidad ]]*0.25</f>
        <v>0.75</v>
      </c>
    </row>
    <row r="456" customFormat="false" ht="15.75" hidden="false" customHeight="false" outlineLevel="0" collapsed="false">
      <c r="A456" s="24" t="s">
        <v>215</v>
      </c>
      <c r="B456" s="23" t="n">
        <v>44069</v>
      </c>
      <c r="C456" s="7" t="s">
        <v>53</v>
      </c>
      <c r="D456" s="24" t="str">
        <f aca="false">VLOOKUP(SALIDAS[[Código Producto ]],PRODUCTOS[],2,0)</f>
        <v>Greek Mayonnaise</v>
      </c>
      <c r="E456" s="24" t="n">
        <v>1</v>
      </c>
      <c r="F456" s="0" t="n">
        <f aca="false">SALIDAS[[#This Row],[Cantidad ]]*0.25</f>
        <v>0.25</v>
      </c>
    </row>
    <row r="457" customFormat="false" ht="15.75" hidden="false" customHeight="false" outlineLevel="0" collapsed="false">
      <c r="A457" s="24" t="s">
        <v>181</v>
      </c>
      <c r="B457" s="23" t="n">
        <v>44070</v>
      </c>
      <c r="C457" s="7" t="s">
        <v>22</v>
      </c>
      <c r="D457" s="24" t="str">
        <f aca="false">VLOOKUP(SALIDAS[[Código Producto ]],PRODUCTOS[],2,0)</f>
        <v>Chorizo finas hierbas x 6 unidades 600g</v>
      </c>
      <c r="E457" s="24" t="n">
        <v>12</v>
      </c>
      <c r="F457" s="0" t="n">
        <f aca="false">SALIDAS[[#This Row],[Cantidad ]]*0.6</f>
        <v>7.2</v>
      </c>
    </row>
    <row r="458" customFormat="false" ht="15.75" hidden="false" customHeight="false" outlineLevel="0" collapsed="false">
      <c r="A458" s="24" t="s">
        <v>181</v>
      </c>
      <c r="B458" s="23" t="n">
        <v>44070</v>
      </c>
      <c r="C458" s="7" t="s">
        <v>30</v>
      </c>
      <c r="D458" s="24" t="str">
        <f aca="false">VLOOKUP(SALIDAS[[Código Producto ]],PRODUCTOS[],2,0)</f>
        <v>Chorizo Oxford x 6 unidades 600g</v>
      </c>
      <c r="E458" s="24" t="n">
        <v>12</v>
      </c>
      <c r="F458" s="0" t="n">
        <f aca="false">SALIDAS[[#This Row],[Cantidad ]]*0.6</f>
        <v>7.2</v>
      </c>
    </row>
    <row r="459" customFormat="false" ht="15.75" hidden="false" customHeight="false" outlineLevel="0" collapsed="false">
      <c r="A459" s="24" t="s">
        <v>181</v>
      </c>
      <c r="B459" s="23" t="n">
        <v>44070</v>
      </c>
      <c r="C459" s="7" t="s">
        <v>47</v>
      </c>
      <c r="D459" s="24" t="str">
        <f aca="false">VLOOKUP(SALIDAS[[Código Producto ]],PRODUCTOS[],2,0)</f>
        <v>Frankfurter granel x 4 unidades 250g</v>
      </c>
      <c r="E459" s="24" t="n">
        <v>12</v>
      </c>
      <c r="F459" s="0" t="n">
        <f aca="false">SALIDAS[[#This Row],[Cantidad ]]*0.24</f>
        <v>2.88</v>
      </c>
    </row>
    <row r="460" customFormat="false" ht="15.75" hidden="false" customHeight="false" outlineLevel="0" collapsed="false">
      <c r="A460" s="24" t="s">
        <v>216</v>
      </c>
      <c r="B460" s="23" t="n">
        <v>44070</v>
      </c>
      <c r="C460" s="7" t="s">
        <v>28</v>
      </c>
      <c r="D460" s="24" t="str">
        <f aca="false">VLOOKUP(SALIDAS[[Código Producto ]],PRODUCTOS[],2,0)</f>
        <v>Chorizo Oxford x 4 unidades 400g</v>
      </c>
      <c r="E460" s="24" t="n">
        <v>6</v>
      </c>
      <c r="F460" s="0" t="n">
        <f aca="false">SALIDAS[[#This Row],[Cantidad ]]*0.4</f>
        <v>2.4</v>
      </c>
    </row>
    <row r="461" customFormat="false" ht="15.75" hidden="false" customHeight="false" outlineLevel="0" collapsed="false">
      <c r="A461" s="24" t="s">
        <v>216</v>
      </c>
      <c r="B461" s="23" t="n">
        <v>44070</v>
      </c>
      <c r="C461" s="7" t="s">
        <v>26</v>
      </c>
      <c r="D461" s="24" t="str">
        <f aca="false">VLOOKUP(SALIDAS[[Código Producto ]],PRODUCTOS[],2,0)</f>
        <v>Chorizo Oxford x 10 unidades 250g</v>
      </c>
      <c r="E461" s="24" t="n">
        <v>2</v>
      </c>
      <c r="F461" s="0" t="n">
        <f aca="false">SALIDAS[[#This Row],[Cantidad ]]*0.25</f>
        <v>0.5</v>
      </c>
    </row>
    <row r="462" customFormat="false" ht="15.75" hidden="false" customHeight="false" outlineLevel="0" collapsed="false">
      <c r="A462" s="24" t="s">
        <v>216</v>
      </c>
      <c r="B462" s="23" t="n">
        <v>44070</v>
      </c>
      <c r="C462" s="7" t="s">
        <v>20</v>
      </c>
      <c r="D462" s="24" t="str">
        <f aca="false">VLOOKUP(SALIDAS[[Código Producto ]],PRODUCTOS[],2,0)</f>
        <v>Chorizo finas hierbas x 4 unidades 400g</v>
      </c>
      <c r="E462" s="24" t="n">
        <v>6</v>
      </c>
      <c r="F462" s="0" t="n">
        <f aca="false">SALIDAS[[#This Row],[Cantidad ]]*0.4</f>
        <v>2.4</v>
      </c>
    </row>
    <row r="463" customFormat="false" ht="15.75" hidden="false" customHeight="false" outlineLevel="0" collapsed="false">
      <c r="A463" s="24" t="s">
        <v>216</v>
      </c>
      <c r="B463" s="23" t="n">
        <v>44070</v>
      </c>
      <c r="C463" s="7" t="s">
        <v>18</v>
      </c>
      <c r="D463" s="24" t="str">
        <f aca="false">VLOOKUP(SALIDAS[[Código Producto ]],PRODUCTOS[],2,0)</f>
        <v>Chorizo finas hierbas x 10 unidades 250g</v>
      </c>
      <c r="E463" s="24" t="n">
        <v>2</v>
      </c>
      <c r="F463" s="0" t="n">
        <f aca="false">SALIDAS[[#This Row],[Cantidad ]]*0.25</f>
        <v>0.5</v>
      </c>
    </row>
    <row r="464" customFormat="false" ht="15.75" hidden="false" customHeight="false" outlineLevel="0" collapsed="false">
      <c r="A464" s="24" t="s">
        <v>216</v>
      </c>
      <c r="B464" s="23" t="n">
        <v>44070</v>
      </c>
      <c r="C464" s="7" t="s">
        <v>47</v>
      </c>
      <c r="D464" s="24" t="str">
        <f aca="false">VLOOKUP(SALIDAS[[Código Producto ]],PRODUCTOS[],2,0)</f>
        <v>Frankfurter granel x 4 unidades 250g</v>
      </c>
      <c r="E464" s="24" t="n">
        <v>6</v>
      </c>
      <c r="F464" s="0" t="n">
        <f aca="false">SALIDAS[[#This Row],[Cantidad ]]*0.24</f>
        <v>1.44</v>
      </c>
    </row>
    <row r="465" customFormat="false" ht="15.75" hidden="false" customHeight="false" outlineLevel="0" collapsed="false">
      <c r="A465" s="24" t="s">
        <v>216</v>
      </c>
      <c r="B465" s="23" t="n">
        <v>44070</v>
      </c>
      <c r="C465" s="7" t="s">
        <v>41</v>
      </c>
      <c r="D465" s="24" t="str">
        <f aca="false">VLOOKUP(SALIDAS[[Código Producto ]],PRODUCTOS[],2,0)</f>
        <v>Frankfurter cocktail x 10 unidades x 250g</v>
      </c>
      <c r="E465" s="24" t="n">
        <v>2</v>
      </c>
      <c r="F465" s="0" t="n">
        <f aca="false">SALIDAS[[#This Row],[Cantidad ]]*0.25</f>
        <v>0.5</v>
      </c>
    </row>
    <row r="466" customFormat="false" ht="15.75" hidden="false" customHeight="false" outlineLevel="0" collapsed="false">
      <c r="A466" s="24" t="s">
        <v>216</v>
      </c>
      <c r="B466" s="23" t="n">
        <v>44070</v>
      </c>
      <c r="C466" s="7" t="s">
        <v>49</v>
      </c>
      <c r="D466" s="24" t="str">
        <f aca="false">VLOOKUP(SALIDAS[[Código Producto ]],PRODUCTOS[],2,0)</f>
        <v>Frankfurter municipal x 3 unidades </v>
      </c>
      <c r="E466" s="24" t="n">
        <v>2</v>
      </c>
      <c r="F466" s="0" t="n">
        <f aca="false">SALIDAS[[#This Row],[Cantidad ]]*0.32</f>
        <v>0.64</v>
      </c>
    </row>
    <row r="467" customFormat="false" ht="15.75" hidden="false" customHeight="false" outlineLevel="0" collapsed="false">
      <c r="A467" s="24" t="s">
        <v>216</v>
      </c>
      <c r="B467" s="23" t="n">
        <v>44070</v>
      </c>
      <c r="C467" s="7" t="s">
        <v>125</v>
      </c>
      <c r="D467" s="24" t="str">
        <f aca="false">VLOOKUP(SALIDAS[[Código Producto ]],PRODUCTOS[],2,0)</f>
        <v>Vienesa x 5 unidades X 250g</v>
      </c>
      <c r="E467" s="24" t="n">
        <v>6</v>
      </c>
      <c r="F467" s="0" t="n">
        <f aca="false">SALIDAS[[#This Row],[Cantidad ]]*0.25</f>
        <v>1.5</v>
      </c>
    </row>
    <row r="468" customFormat="false" ht="15.75" hidden="false" customHeight="false" outlineLevel="0" collapsed="false">
      <c r="A468" s="24" t="s">
        <v>216</v>
      </c>
      <c r="B468" s="23" t="n">
        <v>44070</v>
      </c>
      <c r="C468" s="7" t="s">
        <v>8</v>
      </c>
      <c r="D468" s="24" t="str">
        <f aca="false">VLOOKUP(SALIDAS[[Código Producto ]],PRODUCTOS[],2,0)</f>
        <v>Bratwurst x 4 unidades 320g </v>
      </c>
      <c r="E468" s="24" t="n">
        <v>6</v>
      </c>
      <c r="F468" s="0" t="n">
        <f aca="false">SALIDAS[[#This Row],[Cantidad ]]*0.32</f>
        <v>1.92</v>
      </c>
    </row>
    <row r="469" customFormat="false" ht="15.75" hidden="false" customHeight="false" outlineLevel="0" collapsed="false">
      <c r="A469" s="24" t="s">
        <v>216</v>
      </c>
      <c r="B469" s="23" t="n">
        <v>44070</v>
      </c>
      <c r="C469" s="7" t="s">
        <v>95</v>
      </c>
      <c r="D469" s="24" t="str">
        <f aca="false">VLOOKUP(SALIDAS[[Código Producto ]],PRODUCTOS[],2,0)</f>
        <v>Morcilla Cocktail x10</v>
      </c>
      <c r="E469" s="24" t="n">
        <v>2</v>
      </c>
      <c r="F469" s="0" t="n">
        <f aca="false">SALIDAS[[#This Row],[Cantidad ]]*0.25</f>
        <v>0.5</v>
      </c>
    </row>
    <row r="470" customFormat="false" ht="15.75" hidden="false" customHeight="false" outlineLevel="0" collapsed="false">
      <c r="A470" s="24" t="s">
        <v>216</v>
      </c>
      <c r="B470" s="23" t="n">
        <v>44070</v>
      </c>
      <c r="C470" s="7" t="s">
        <v>14</v>
      </c>
      <c r="D470" s="24" t="str">
        <f aca="false">VLOOKUP(SALIDAS[[Código Producto ]],PRODUCTOS[],2,0)</f>
        <v>Chistorra Huachana x 6 unidades 150g</v>
      </c>
      <c r="E470" s="24" t="n">
        <v>2</v>
      </c>
      <c r="F470" s="0" t="n">
        <f aca="false">SALIDAS[[#This Row],[Cantidad ]]*0.15</f>
        <v>0.3</v>
      </c>
    </row>
    <row r="471" customFormat="false" ht="15.75" hidden="false" customHeight="false" outlineLevel="0" collapsed="false">
      <c r="A471" s="24" t="s">
        <v>216</v>
      </c>
      <c r="B471" s="23" t="n">
        <v>44070</v>
      </c>
      <c r="C471" s="7" t="s">
        <v>83</v>
      </c>
      <c r="D471" s="24" t="str">
        <f aca="false">VLOOKUP(SALIDAS[[Código Producto ]],PRODUCTOS[],2,0)</f>
        <v>Jamon Pizza x 500g</v>
      </c>
      <c r="E471" s="24" t="n">
        <v>4</v>
      </c>
      <c r="F471" s="0" t="n">
        <f aca="false">SALIDAS[[#This Row],[Cantidad ]]*0.5</f>
        <v>2</v>
      </c>
    </row>
    <row r="472" customFormat="false" ht="15.75" hidden="false" customHeight="false" outlineLevel="0" collapsed="false">
      <c r="A472" s="24" t="s">
        <v>216</v>
      </c>
      <c r="B472" s="23" t="n">
        <v>44070</v>
      </c>
      <c r="C472" s="7" t="s">
        <v>93</v>
      </c>
      <c r="D472" s="24" t="str">
        <f aca="false">VLOOKUP(SALIDAS[[Código Producto ]],PRODUCTOS[],2,0)</f>
        <v>Longaniza Huachana x 350g</v>
      </c>
      <c r="E472" s="24" t="n">
        <v>4</v>
      </c>
      <c r="F472" s="0" t="n">
        <f aca="false">SALIDAS[[#This Row],[Cantidad ]]*0.34</f>
        <v>1.36</v>
      </c>
    </row>
    <row r="473" customFormat="false" ht="15.75" hidden="false" customHeight="false" outlineLevel="0" collapsed="false">
      <c r="A473" s="24" t="s">
        <v>216</v>
      </c>
      <c r="B473" s="23" t="n">
        <v>44070</v>
      </c>
      <c r="C473" s="7" t="s">
        <v>32</v>
      </c>
      <c r="D473" s="24" t="str">
        <f aca="false">VLOOKUP(SALIDAS[[Código Producto ]],PRODUCTOS[],2,0)</f>
        <v>Chorizo Sweet Spicy 400g</v>
      </c>
      <c r="E473" s="24" t="n">
        <v>4</v>
      </c>
      <c r="F473" s="0" t="n">
        <f aca="false">SALIDAS[[#This Row],[Cantidad ]]*0.4</f>
        <v>1.6</v>
      </c>
    </row>
    <row r="474" customFormat="false" ht="15.75" hidden="false" customHeight="false" outlineLevel="0" collapsed="false">
      <c r="A474" s="24" t="s">
        <v>157</v>
      </c>
      <c r="B474" s="23" t="n">
        <v>44069</v>
      </c>
      <c r="C474" s="7" t="s">
        <v>117</v>
      </c>
      <c r="D474" s="24" t="str">
        <f aca="false">VLOOKUP(SALIDAS[[Código Producto ]],PRODUCTOS[],2,0)</f>
        <v>Tocino Ahumado Redondo  x 200g (ROJO)</v>
      </c>
      <c r="E474" s="24" t="n">
        <v>5</v>
      </c>
      <c r="F474" s="0" t="n">
        <f aca="false">SALIDAS[[#This Row],[Cantidad ]]*0.2</f>
        <v>1</v>
      </c>
    </row>
    <row r="475" customFormat="false" ht="15.75" hidden="false" customHeight="false" outlineLevel="0" collapsed="false">
      <c r="A475" s="24" t="s">
        <v>157</v>
      </c>
      <c r="B475" s="23" t="n">
        <v>44069</v>
      </c>
      <c r="C475" s="7" t="s">
        <v>14</v>
      </c>
      <c r="D475" s="24" t="str">
        <f aca="false">VLOOKUP(SALIDAS[[Código Producto ]],PRODUCTOS[],2,0)</f>
        <v>Chistorra Huachana x 6 unidades 150g</v>
      </c>
      <c r="E475" s="24" t="n">
        <v>3</v>
      </c>
      <c r="F475" s="0" t="n">
        <f aca="false">SALIDAS[[#This Row],[Cantidad ]]*0.15</f>
        <v>0.45</v>
      </c>
    </row>
    <row r="476" customFormat="false" ht="15.75" hidden="false" customHeight="false" outlineLevel="0" collapsed="false">
      <c r="A476" s="24" t="s">
        <v>160</v>
      </c>
      <c r="B476" s="23" t="n">
        <v>44070</v>
      </c>
      <c r="C476" s="7" t="s">
        <v>79</v>
      </c>
      <c r="D476" s="24" t="str">
        <f aca="false">VLOOKUP(SALIDAS[[Código Producto ]],PRODUCTOS[],2,0)</f>
        <v>Jamon pizza  x 3.2 Kg (Entero)</v>
      </c>
      <c r="E476" s="24" t="n">
        <v>31.54</v>
      </c>
      <c r="F476" s="0" t="n">
        <f aca="false">SALIDAS[[#This Row],[Cantidad ]]</f>
        <v>31.54</v>
      </c>
    </row>
    <row r="477" customFormat="false" ht="15.75" hidden="true" customHeight="false" outlineLevel="0" collapsed="false">
      <c r="A477" s="24" t="s">
        <v>217</v>
      </c>
      <c r="B477" s="23" t="n">
        <v>44070</v>
      </c>
      <c r="C477" s="7" t="s">
        <v>83</v>
      </c>
      <c r="D477" s="24" t="str">
        <f aca="false">VLOOKUP(SALIDAS[[Código Producto ]],PRODUCTOS[],2,0)</f>
        <v>Jamon Pizza x 500g</v>
      </c>
      <c r="E477" s="24" t="n">
        <v>1</v>
      </c>
      <c r="F477" s="0" t="n">
        <f aca="false">SALIDAS[[#This Row],[Cantidad ]]*0.5</f>
        <v>0.5</v>
      </c>
    </row>
    <row r="478" customFormat="false" ht="15.75" hidden="true" customHeight="false" outlineLevel="0" collapsed="false">
      <c r="A478" s="24" t="s">
        <v>217</v>
      </c>
      <c r="B478" s="23" t="n">
        <v>44070</v>
      </c>
      <c r="C478" s="7" t="s">
        <v>117</v>
      </c>
      <c r="D478" s="24" t="str">
        <f aca="false">VLOOKUP(SALIDAS[[Código Producto ]],PRODUCTOS[],2,0)</f>
        <v>Tocino Ahumado Redondo  x 200g (ROJO)</v>
      </c>
      <c r="E478" s="24" t="n">
        <v>1</v>
      </c>
      <c r="F478" s="0" t="n">
        <f aca="false">SALIDAS[[#This Row],[Cantidad ]]*0.2</f>
        <v>0.2</v>
      </c>
    </row>
    <row r="479" customFormat="false" ht="15.75" hidden="true" customHeight="false" outlineLevel="0" collapsed="false">
      <c r="A479" s="24" t="s">
        <v>217</v>
      </c>
      <c r="B479" s="23" t="n">
        <v>44070</v>
      </c>
      <c r="C479" s="7" t="s">
        <v>4</v>
      </c>
      <c r="D479" s="24" t="str">
        <f aca="false">VLOOKUP(SALIDAS[[Código Producto ]],PRODUCTOS[],2,0)</f>
        <v>Bondiola X 250G</v>
      </c>
      <c r="E479" s="24" t="n">
        <v>1</v>
      </c>
      <c r="F479" s="0" t="n">
        <f aca="false">SALIDAS[[#This Row],[Cantidad ]]*0.25</f>
        <v>0.25</v>
      </c>
    </row>
    <row r="480" customFormat="false" ht="15.75" hidden="true" customHeight="false" outlineLevel="0" collapsed="false">
      <c r="A480" s="24" t="s">
        <v>217</v>
      </c>
      <c r="B480" s="23" t="n">
        <v>44070</v>
      </c>
      <c r="C480" s="7" t="s">
        <v>125</v>
      </c>
      <c r="D480" s="24" t="str">
        <f aca="false">VLOOKUP(SALIDAS[[Código Producto ]],PRODUCTOS[],2,0)</f>
        <v>Vienesa x 5 unidades X 250g</v>
      </c>
      <c r="E480" s="24" t="n">
        <v>1</v>
      </c>
      <c r="F480" s="0" t="n">
        <f aca="false">SALIDAS[[#This Row],[Cantidad ]]*0.25</f>
        <v>0.25</v>
      </c>
    </row>
    <row r="481" customFormat="false" ht="15.75" hidden="true" customHeight="false" outlineLevel="0" collapsed="false">
      <c r="A481" s="24" t="s">
        <v>217</v>
      </c>
      <c r="B481" s="23" t="n">
        <v>44070</v>
      </c>
      <c r="C481" s="7" t="s">
        <v>95</v>
      </c>
      <c r="D481" s="24" t="str">
        <f aca="false">VLOOKUP(SALIDAS[[Código Producto ]],PRODUCTOS[],2,0)</f>
        <v>Morcilla Cocktail x10</v>
      </c>
      <c r="E481" s="24" t="n">
        <v>1</v>
      </c>
      <c r="F481" s="0" t="n">
        <f aca="false">SALIDAS[[#This Row],[Cantidad ]]*0.25</f>
        <v>0.25</v>
      </c>
    </row>
    <row r="482" customFormat="false" ht="15.75" hidden="true" customHeight="false" outlineLevel="0" collapsed="false">
      <c r="A482" s="24" t="s">
        <v>217</v>
      </c>
      <c r="B482" s="23" t="n">
        <v>44070</v>
      </c>
      <c r="C482" s="7" t="s">
        <v>14</v>
      </c>
      <c r="D482" s="24" t="str">
        <f aca="false">VLOOKUP(SALIDAS[[Código Producto ]],PRODUCTOS[],2,0)</f>
        <v>Chistorra Huachana x 6 unidades 150g</v>
      </c>
      <c r="E482" s="24" t="n">
        <v>1</v>
      </c>
      <c r="F482" s="0" t="n">
        <f aca="false">SALIDAS[[#This Row],[Cantidad ]]*0.15</f>
        <v>0.15</v>
      </c>
    </row>
    <row r="483" customFormat="false" ht="15.75" hidden="true" customHeight="false" outlineLevel="0" collapsed="false">
      <c r="A483" s="24" t="s">
        <v>217</v>
      </c>
      <c r="B483" s="23" t="n">
        <v>44070</v>
      </c>
      <c r="C483" s="7" t="s">
        <v>28</v>
      </c>
      <c r="D483" s="24" t="str">
        <f aca="false">VLOOKUP(SALIDAS[[Código Producto ]],PRODUCTOS[],2,0)</f>
        <v>Chorizo Oxford x 4 unidades 400g</v>
      </c>
      <c r="E483" s="24" t="n">
        <v>1</v>
      </c>
      <c r="F483" s="0" t="n">
        <f aca="false">SALIDAS[[#This Row],[Cantidad ]]*0.4</f>
        <v>0.4</v>
      </c>
    </row>
    <row r="484" customFormat="false" ht="15.75" hidden="true" customHeight="false" outlineLevel="0" collapsed="false">
      <c r="A484" s="24" t="s">
        <v>217</v>
      </c>
      <c r="B484" s="23" t="n">
        <v>44070</v>
      </c>
      <c r="C484" s="7" t="s">
        <v>20</v>
      </c>
      <c r="D484" s="24" t="str">
        <f aca="false">VLOOKUP(SALIDAS[[Código Producto ]],PRODUCTOS[],2,0)</f>
        <v>Chorizo finas hierbas x 4 unidades 400g</v>
      </c>
      <c r="E484" s="24" t="n">
        <v>1</v>
      </c>
      <c r="F484" s="0" t="n">
        <f aca="false">SALIDAS[[#This Row],[Cantidad ]]*0.4</f>
        <v>0.4</v>
      </c>
    </row>
    <row r="485" customFormat="false" ht="15.75" hidden="true" customHeight="false" outlineLevel="0" collapsed="false">
      <c r="A485" s="24" t="s">
        <v>218</v>
      </c>
      <c r="B485" s="23" t="n">
        <v>44070</v>
      </c>
      <c r="C485" s="7" t="s">
        <v>83</v>
      </c>
      <c r="D485" s="24" t="str">
        <f aca="false">VLOOKUP(SALIDAS[[Código Producto ]],PRODUCTOS[],2,0)</f>
        <v>Jamon Pizza x 500g</v>
      </c>
      <c r="E485" s="24" t="n">
        <v>1</v>
      </c>
      <c r="F485" s="0" t="n">
        <f aca="false">SALIDAS[[#This Row],[Cantidad ]]*0.5</f>
        <v>0.5</v>
      </c>
    </row>
    <row r="486" customFormat="false" ht="15.75" hidden="true" customHeight="false" outlineLevel="0" collapsed="false">
      <c r="A486" s="24" t="s">
        <v>218</v>
      </c>
      <c r="B486" s="23" t="n">
        <v>44070</v>
      </c>
      <c r="C486" s="7" t="s">
        <v>117</v>
      </c>
      <c r="D486" s="24" t="str">
        <f aca="false">VLOOKUP(SALIDAS[[Código Producto ]],PRODUCTOS[],2,0)</f>
        <v>Tocino Ahumado Redondo  x 200g (ROJO)</v>
      </c>
      <c r="E486" s="24" t="n">
        <v>1</v>
      </c>
      <c r="F486" s="0" t="n">
        <f aca="false">SALIDAS[[#This Row],[Cantidad ]]*0.2</f>
        <v>0.2</v>
      </c>
    </row>
    <row r="487" customFormat="false" ht="15.75" hidden="true" customHeight="false" outlineLevel="0" collapsed="false">
      <c r="A487" s="24" t="s">
        <v>218</v>
      </c>
      <c r="B487" s="23" t="n">
        <v>44070</v>
      </c>
      <c r="C487" s="7" t="s">
        <v>4</v>
      </c>
      <c r="D487" s="24" t="str">
        <f aca="false">VLOOKUP(SALIDAS[[Código Producto ]],PRODUCTOS[],2,0)</f>
        <v>Bondiola X 250G</v>
      </c>
      <c r="E487" s="24" t="n">
        <v>1</v>
      </c>
      <c r="F487" s="0" t="n">
        <f aca="false">SALIDAS[[#This Row],[Cantidad ]]*0.25</f>
        <v>0.25</v>
      </c>
    </row>
    <row r="488" customFormat="false" ht="15.75" hidden="true" customHeight="false" outlineLevel="0" collapsed="false">
      <c r="A488" s="24" t="s">
        <v>218</v>
      </c>
      <c r="B488" s="23" t="n">
        <v>44070</v>
      </c>
      <c r="C488" s="7" t="s">
        <v>125</v>
      </c>
      <c r="D488" s="24" t="str">
        <f aca="false">VLOOKUP(SALIDAS[[Código Producto ]],PRODUCTOS[],2,0)</f>
        <v>Vienesa x 5 unidades X 250g</v>
      </c>
      <c r="E488" s="24" t="n">
        <v>1</v>
      </c>
      <c r="F488" s="0" t="n">
        <f aca="false">SALIDAS[[#This Row],[Cantidad ]]*0.25</f>
        <v>0.25</v>
      </c>
    </row>
    <row r="489" customFormat="false" ht="15.75" hidden="true" customHeight="false" outlineLevel="0" collapsed="false">
      <c r="A489" s="24" t="s">
        <v>218</v>
      </c>
      <c r="B489" s="23" t="n">
        <v>44070</v>
      </c>
      <c r="C489" s="7" t="s">
        <v>95</v>
      </c>
      <c r="D489" s="24" t="str">
        <f aca="false">VLOOKUP(SALIDAS[[Código Producto ]],PRODUCTOS[],2,0)</f>
        <v>Morcilla Cocktail x10</v>
      </c>
      <c r="E489" s="24" t="n">
        <v>1</v>
      </c>
      <c r="F489" s="0" t="n">
        <f aca="false">SALIDAS[[#This Row],[Cantidad ]]*0.25</f>
        <v>0.25</v>
      </c>
    </row>
    <row r="490" customFormat="false" ht="15.75" hidden="true" customHeight="false" outlineLevel="0" collapsed="false">
      <c r="A490" s="24" t="s">
        <v>218</v>
      </c>
      <c r="B490" s="23" t="n">
        <v>44070</v>
      </c>
      <c r="C490" s="7" t="s">
        <v>14</v>
      </c>
      <c r="D490" s="24" t="str">
        <f aca="false">VLOOKUP(SALIDAS[[Código Producto ]],PRODUCTOS[],2,0)</f>
        <v>Chistorra Huachana x 6 unidades 150g</v>
      </c>
      <c r="E490" s="24" t="n">
        <v>1</v>
      </c>
      <c r="F490" s="0" t="n">
        <f aca="false">SALIDAS[[#This Row],[Cantidad ]]*0.15</f>
        <v>0.15</v>
      </c>
    </row>
    <row r="491" customFormat="false" ht="15.75" hidden="true" customHeight="false" outlineLevel="0" collapsed="false">
      <c r="A491" s="24" t="s">
        <v>218</v>
      </c>
      <c r="B491" s="23" t="n">
        <v>44070</v>
      </c>
      <c r="C491" s="7" t="s">
        <v>28</v>
      </c>
      <c r="D491" s="24" t="str">
        <f aca="false">VLOOKUP(SALIDAS[[Código Producto ]],PRODUCTOS[],2,0)</f>
        <v>Chorizo Oxford x 4 unidades 400g</v>
      </c>
      <c r="E491" s="24" t="n">
        <v>1</v>
      </c>
      <c r="F491" s="0" t="n">
        <f aca="false">SALIDAS[[#This Row],[Cantidad ]]*0.4</f>
        <v>0.4</v>
      </c>
    </row>
    <row r="492" customFormat="false" ht="15.75" hidden="true" customHeight="false" outlineLevel="0" collapsed="false">
      <c r="A492" s="24" t="s">
        <v>218</v>
      </c>
      <c r="B492" s="23" t="n">
        <v>44070</v>
      </c>
      <c r="C492" s="7" t="s">
        <v>20</v>
      </c>
      <c r="D492" s="24" t="str">
        <f aca="false">VLOOKUP(SALIDAS[[Código Producto ]],PRODUCTOS[],2,0)</f>
        <v>Chorizo finas hierbas x 4 unidades 400g</v>
      </c>
      <c r="E492" s="24" t="n">
        <v>1</v>
      </c>
      <c r="F492" s="0" t="n">
        <f aca="false">SALIDAS[[#This Row],[Cantidad ]]*4</f>
        <v>4</v>
      </c>
    </row>
    <row r="493" customFormat="false" ht="15.75" hidden="true" customHeight="false" outlineLevel="0" collapsed="false">
      <c r="A493" s="24" t="s">
        <v>218</v>
      </c>
      <c r="B493" s="23" t="n">
        <v>44070</v>
      </c>
      <c r="C493" s="7" t="s">
        <v>135</v>
      </c>
      <c r="D493" s="24" t="str">
        <f aca="false">VLOOKUP(SALIDAS[[Código Producto ]],PRODUCTOS[],2,0)</f>
        <v>Jamon tata a las finas hierbas x 250 g</v>
      </c>
      <c r="E493" s="24" t="n">
        <v>1</v>
      </c>
      <c r="F493" s="0" t="n">
        <f aca="false">SALIDAS[[#This Row],[Cantidad ]]*0.25</f>
        <v>0.25</v>
      </c>
    </row>
    <row r="494" customFormat="false" ht="15.75" hidden="true" customHeight="false" outlineLevel="0" collapsed="false">
      <c r="A494" s="24" t="s">
        <v>218</v>
      </c>
      <c r="B494" s="23" t="n">
        <v>44070</v>
      </c>
      <c r="C494" s="7" t="s">
        <v>131</v>
      </c>
      <c r="D494" s="24" t="str">
        <f aca="false">VLOOKUP(SALIDAS[[Código Producto ]],PRODUCTOS[],2,0)</f>
        <v>Jamon tata x 250 gr</v>
      </c>
      <c r="E494" s="24" t="n">
        <v>1</v>
      </c>
      <c r="F494" s="0" t="n">
        <f aca="false">SALIDAS[[#This Row],[Cantidad ]]*0.25</f>
        <v>0.25</v>
      </c>
    </row>
    <row r="495" customFormat="false" ht="15.75" hidden="true" customHeight="false" outlineLevel="0" collapsed="false">
      <c r="A495" s="24" t="s">
        <v>218</v>
      </c>
      <c r="B495" s="23" t="n">
        <v>44070</v>
      </c>
      <c r="C495" s="7" t="s">
        <v>139</v>
      </c>
      <c r="D495" s="24" t="str">
        <f aca="false">VLOOKUP(SALIDAS[[Código Producto ]],PRODUCTOS[],2,0)</f>
        <v>Jamon La nonna x 250g</v>
      </c>
      <c r="E495" s="24" t="n">
        <v>1</v>
      </c>
      <c r="F495" s="0" t="n">
        <f aca="false">SALIDAS[[#This Row],[Cantidad ]]*0.25</f>
        <v>0.25</v>
      </c>
    </row>
    <row r="496" customFormat="false" ht="15.75" hidden="true" customHeight="false" outlineLevel="0" collapsed="false">
      <c r="A496" s="24" t="s">
        <v>219</v>
      </c>
      <c r="B496" s="23" t="n">
        <v>44070</v>
      </c>
      <c r="C496" s="7" t="s">
        <v>83</v>
      </c>
      <c r="D496" s="24" t="str">
        <f aca="false">VLOOKUP(SALIDAS[[Código Producto ]],PRODUCTOS[],2,0)</f>
        <v>Jamon Pizza x 500g</v>
      </c>
      <c r="E496" s="24" t="n">
        <v>2</v>
      </c>
      <c r="F496" s="0" t="n">
        <f aca="false">SALIDAS[[#This Row],[Cantidad ]]*0.5</f>
        <v>1</v>
      </c>
    </row>
    <row r="497" customFormat="false" ht="15.75" hidden="true" customHeight="false" outlineLevel="0" collapsed="false">
      <c r="A497" s="24" t="s">
        <v>219</v>
      </c>
      <c r="B497" s="23" t="n">
        <v>44070</v>
      </c>
      <c r="C497" s="7" t="s">
        <v>43</v>
      </c>
      <c r="D497" s="24" t="str">
        <f aca="false">VLOOKUP(SALIDAS[[Código Producto ]],PRODUCTOS[],2,0)</f>
        <v>Frankfurter Gastronomico x 2Kg</v>
      </c>
      <c r="E497" s="24" t="n">
        <v>0.5</v>
      </c>
      <c r="F497" s="0" t="n">
        <f aca="false">SALIDAS[[#This Row],[Cantidad ]]*2</f>
        <v>1</v>
      </c>
    </row>
    <row r="498" customFormat="false" ht="15.75" hidden="true" customHeight="false" outlineLevel="0" collapsed="false">
      <c r="A498" s="24" t="s">
        <v>219</v>
      </c>
      <c r="B498" s="23" t="n">
        <v>44070</v>
      </c>
      <c r="C498" s="7" t="s">
        <v>125</v>
      </c>
      <c r="D498" s="24" t="str">
        <f aca="false">VLOOKUP(SALIDAS[[Código Producto ]],PRODUCTOS[],2,0)</f>
        <v>Vienesa x 5 unidades X 250g</v>
      </c>
      <c r="E498" s="24" t="n">
        <v>2</v>
      </c>
      <c r="F498" s="0" t="n">
        <f aca="false">SALIDAS[[#This Row],[Cantidad ]]*0.25</f>
        <v>0.5</v>
      </c>
    </row>
    <row r="499" customFormat="false" ht="15.75" hidden="true" customHeight="false" outlineLevel="0" collapsed="false">
      <c r="A499" s="24" t="s">
        <v>219</v>
      </c>
      <c r="B499" s="23" t="n">
        <v>44070</v>
      </c>
      <c r="C499" s="7" t="s">
        <v>109</v>
      </c>
      <c r="D499" s="24" t="str">
        <f aca="false">VLOOKUP(SALIDAS[[Código Producto ]],PRODUCTOS[],2,0)</f>
        <v>Tocino Ahumado Natural x200g</v>
      </c>
      <c r="E499" s="24" t="n">
        <v>2</v>
      </c>
      <c r="F499" s="0" t="n">
        <f aca="false">SALIDAS[[#This Row],[Cantidad ]]*0.2</f>
        <v>0.4</v>
      </c>
    </row>
    <row r="500" customFormat="false" ht="15.75" hidden="true" customHeight="false" outlineLevel="0" collapsed="false">
      <c r="A500" s="24" t="s">
        <v>219</v>
      </c>
      <c r="B500" s="23" t="n">
        <v>44070</v>
      </c>
      <c r="C500" s="7" t="s">
        <v>34</v>
      </c>
      <c r="D500" s="24" t="str">
        <f aca="false">VLOOKUP(SALIDAS[[Código Producto ]],PRODUCTOS[],2,0)</f>
        <v>Chorizo Sweet Spicy 600g</v>
      </c>
      <c r="E500" s="24" t="n">
        <v>1</v>
      </c>
      <c r="F500" s="0" t="n">
        <f aca="false">SALIDAS[[#This Row],[Cantidad ]]*0.6</f>
        <v>0.6</v>
      </c>
    </row>
    <row r="501" customFormat="false" ht="15.75" hidden="true" customHeight="false" outlineLevel="0" collapsed="false">
      <c r="A501" s="24" t="s">
        <v>220</v>
      </c>
      <c r="B501" s="23" t="n">
        <v>44070</v>
      </c>
      <c r="C501" s="7" t="s">
        <v>28</v>
      </c>
      <c r="D501" s="24" t="str">
        <f aca="false">VLOOKUP(SALIDAS[[Código Producto ]],PRODUCTOS[],2,0)</f>
        <v>Chorizo Oxford x 4 unidades 400g</v>
      </c>
      <c r="E501" s="24" t="n">
        <v>1</v>
      </c>
      <c r="F501" s="0" t="n">
        <f aca="false">SALIDAS[[#This Row],[Cantidad ]]*0.4</f>
        <v>0.4</v>
      </c>
    </row>
    <row r="502" customFormat="false" ht="15.75" hidden="true" customHeight="false" outlineLevel="0" collapsed="false">
      <c r="A502" s="24" t="s">
        <v>220</v>
      </c>
      <c r="B502" s="23" t="n">
        <v>44070</v>
      </c>
      <c r="C502" s="7" t="s">
        <v>26</v>
      </c>
      <c r="D502" s="24" t="str">
        <f aca="false">VLOOKUP(SALIDAS[[Código Producto ]],PRODUCTOS[],2,0)</f>
        <v>Chorizo Oxford x 10 unidades 250g</v>
      </c>
      <c r="E502" s="24" t="n">
        <v>1</v>
      </c>
      <c r="F502" s="0" t="n">
        <f aca="false">SALIDAS[[#This Row],[Cantidad ]]*0.25</f>
        <v>0.25</v>
      </c>
    </row>
    <row r="503" customFormat="false" ht="15.75" hidden="true" customHeight="false" outlineLevel="0" collapsed="false">
      <c r="A503" s="24" t="s">
        <v>220</v>
      </c>
      <c r="B503" s="23" t="n">
        <v>44070</v>
      </c>
      <c r="C503" s="7" t="s">
        <v>20</v>
      </c>
      <c r="D503" s="24" t="str">
        <f aca="false">VLOOKUP(SALIDAS[[Código Producto ]],PRODUCTOS[],2,0)</f>
        <v>Chorizo finas hierbas x 4 unidades 400g</v>
      </c>
      <c r="E503" s="24" t="n">
        <v>1</v>
      </c>
      <c r="F503" s="0" t="n">
        <f aca="false">SALIDAS[[#This Row],[Cantidad ]]*0.4</f>
        <v>0.4</v>
      </c>
    </row>
    <row r="504" customFormat="false" ht="15.75" hidden="true" customHeight="false" outlineLevel="0" collapsed="false">
      <c r="A504" s="24" t="s">
        <v>220</v>
      </c>
      <c r="B504" s="23" t="n">
        <v>44070</v>
      </c>
      <c r="C504" s="7" t="s">
        <v>18</v>
      </c>
      <c r="D504" s="24" t="str">
        <f aca="false">VLOOKUP(SALIDAS[[Código Producto ]],PRODUCTOS[],2,0)</f>
        <v>Chorizo finas hierbas x 10 unidades 250g</v>
      </c>
      <c r="E504" s="24" t="n">
        <v>1</v>
      </c>
      <c r="F504" s="0" t="n">
        <f aca="false">SALIDAS[[#This Row],[Cantidad ]]*0.25</f>
        <v>0.25</v>
      </c>
    </row>
    <row r="505" customFormat="false" ht="15.75" hidden="true" customHeight="false" outlineLevel="0" collapsed="false">
      <c r="A505" s="24" t="s">
        <v>220</v>
      </c>
      <c r="B505" s="23" t="n">
        <v>44070</v>
      </c>
      <c r="C505" s="7" t="s">
        <v>32</v>
      </c>
      <c r="D505" s="24" t="str">
        <f aca="false">VLOOKUP(SALIDAS[[Código Producto ]],PRODUCTOS[],2,0)</f>
        <v>Chorizo Sweet Spicy 400g</v>
      </c>
      <c r="E505" s="24" t="n">
        <v>1</v>
      </c>
      <c r="F505" s="0" t="n">
        <f aca="false">SALIDAS[[#This Row],[Cantidad ]]*0.4</f>
        <v>0.4</v>
      </c>
    </row>
    <row r="506" customFormat="false" ht="15.75" hidden="true" customHeight="false" outlineLevel="0" collapsed="false">
      <c r="A506" s="24" t="s">
        <v>220</v>
      </c>
      <c r="B506" s="23" t="n">
        <v>44070</v>
      </c>
      <c r="C506" s="7" t="s">
        <v>47</v>
      </c>
      <c r="D506" s="24" t="str">
        <f aca="false">VLOOKUP(SALIDAS[[Código Producto ]],PRODUCTOS[],2,0)</f>
        <v>Frankfurter granel x 4 unidades 250g</v>
      </c>
      <c r="E506" s="24" t="n">
        <v>1</v>
      </c>
      <c r="F506" s="0" t="n">
        <f aca="false">SALIDAS[[#This Row],[Cantidad ]]*0.25</f>
        <v>0.25</v>
      </c>
    </row>
    <row r="507" customFormat="false" ht="15.75" hidden="true" customHeight="false" outlineLevel="0" collapsed="false">
      <c r="A507" s="24" t="s">
        <v>220</v>
      </c>
      <c r="B507" s="23" t="n">
        <v>44070</v>
      </c>
      <c r="C507" s="7" t="s">
        <v>41</v>
      </c>
      <c r="D507" s="24" t="str">
        <f aca="false">VLOOKUP(SALIDAS[[Código Producto ]],PRODUCTOS[],2,0)</f>
        <v>Frankfurter cocktail x 10 unidades x 250g</v>
      </c>
      <c r="E507" s="24" t="n">
        <v>1</v>
      </c>
      <c r="F507" s="0" t="n">
        <f aca="false">SALIDAS[[#This Row],[Cantidad ]]*0.25</f>
        <v>0.25</v>
      </c>
    </row>
    <row r="508" customFormat="false" ht="15.75" hidden="true" customHeight="false" outlineLevel="0" collapsed="false">
      <c r="A508" s="24" t="s">
        <v>220</v>
      </c>
      <c r="B508" s="23" t="n">
        <v>44070</v>
      </c>
      <c r="C508" s="7" t="s">
        <v>49</v>
      </c>
      <c r="D508" s="24" t="str">
        <f aca="false">VLOOKUP(SALIDAS[[Código Producto ]],PRODUCTOS[],2,0)</f>
        <v>Frankfurter municipal x 3 unidades </v>
      </c>
      <c r="E508" s="24" t="n">
        <v>1</v>
      </c>
      <c r="F508" s="0" t="n">
        <f aca="false">SALIDAS[[#This Row],[Cantidad ]]*0.45</f>
        <v>0.45</v>
      </c>
    </row>
    <row r="509" customFormat="false" ht="15.75" hidden="true" customHeight="false" outlineLevel="0" collapsed="false">
      <c r="A509" s="24" t="s">
        <v>220</v>
      </c>
      <c r="B509" s="23" t="n">
        <v>44070</v>
      </c>
      <c r="C509" s="7" t="s">
        <v>8</v>
      </c>
      <c r="D509" s="24" t="str">
        <f aca="false">VLOOKUP(SALIDAS[[Código Producto ]],PRODUCTOS[],2,0)</f>
        <v>Bratwurst x 4 unidades 320g </v>
      </c>
      <c r="E509" s="24" t="n">
        <v>1</v>
      </c>
      <c r="F509" s="0" t="n">
        <f aca="false">SALIDAS[[#This Row],[Cantidad ]]*0.32</f>
        <v>0.32</v>
      </c>
    </row>
    <row r="510" customFormat="false" ht="15.75" hidden="true" customHeight="false" outlineLevel="0" collapsed="false">
      <c r="A510" s="24" t="s">
        <v>220</v>
      </c>
      <c r="B510" s="23" t="n">
        <v>44070</v>
      </c>
      <c r="C510" s="7" t="s">
        <v>14</v>
      </c>
      <c r="D510" s="24" t="str">
        <f aca="false">VLOOKUP(SALIDAS[[Código Producto ]],PRODUCTOS[],2,0)</f>
        <v>Chistorra Huachana x 6 unidades 150g</v>
      </c>
      <c r="E510" s="24" t="n">
        <v>1</v>
      </c>
      <c r="F510" s="0" t="n">
        <f aca="false">SALIDAS[[#This Row],[Cantidad ]]*0.15</f>
        <v>0.15</v>
      </c>
    </row>
    <row r="511" customFormat="false" ht="15.75" hidden="true" customHeight="false" outlineLevel="0" collapsed="false">
      <c r="A511" s="24" t="s">
        <v>220</v>
      </c>
      <c r="B511" s="23" t="n">
        <v>44070</v>
      </c>
      <c r="C511" s="7" t="s">
        <v>75</v>
      </c>
      <c r="D511" s="24" t="str">
        <f aca="false">VLOOKUP(SALIDAS[[Código Producto ]],PRODUCTOS[],2,0)</f>
        <v>Jamon Ingles x 250g</v>
      </c>
      <c r="E511" s="24" t="n">
        <v>1</v>
      </c>
      <c r="F511" s="0" t="n">
        <f aca="false">SALIDAS[[#This Row],[Cantidad ]]*0.25</f>
        <v>0.25</v>
      </c>
    </row>
    <row r="512" customFormat="false" ht="15.75" hidden="true" customHeight="false" outlineLevel="0" collapsed="false">
      <c r="A512" s="24" t="s">
        <v>220</v>
      </c>
      <c r="B512" s="23" t="n">
        <v>44070</v>
      </c>
      <c r="C512" s="7" t="s">
        <v>69</v>
      </c>
      <c r="D512" s="24" t="str">
        <f aca="false">VLOOKUP(SALIDAS[[Código Producto ]],PRODUCTOS[],2,0)</f>
        <v>Jamon del país artesanal 250g</v>
      </c>
      <c r="E512" s="24" t="n">
        <v>1</v>
      </c>
      <c r="F512" s="0" t="n">
        <f aca="false">SALIDAS[[#This Row],[Cantidad ]]*0.25</f>
        <v>0.25</v>
      </c>
    </row>
    <row r="513" customFormat="false" ht="15.75" hidden="true" customHeight="false" outlineLevel="0" collapsed="false">
      <c r="A513" s="24" t="s">
        <v>220</v>
      </c>
      <c r="B513" s="23" t="n">
        <v>44070</v>
      </c>
      <c r="C513" s="7" t="s">
        <v>81</v>
      </c>
      <c r="D513" s="24" t="str">
        <f aca="false">VLOOKUP(SALIDAS[[Código Producto ]],PRODUCTOS[],2,0)</f>
        <v>Jamon pizza x 250g</v>
      </c>
      <c r="E513" s="24" t="n">
        <v>1</v>
      </c>
      <c r="F513" s="0" t="n">
        <f aca="false">SALIDAS[[#This Row],[Cantidad ]]*0.25</f>
        <v>0.25</v>
      </c>
    </row>
    <row r="514" customFormat="false" ht="15.75" hidden="true" customHeight="false" outlineLevel="0" collapsed="false">
      <c r="A514" s="24" t="s">
        <v>220</v>
      </c>
      <c r="B514" s="23" t="n">
        <v>44070</v>
      </c>
      <c r="C514" s="7" t="s">
        <v>111</v>
      </c>
      <c r="D514" s="24" t="str">
        <f aca="false">VLOOKUP(SALIDAS[[Código Producto ]],PRODUCTOS[],2,0)</f>
        <v>Tocino Ahumado Natural x250g</v>
      </c>
      <c r="E514" s="24" t="n">
        <v>1</v>
      </c>
      <c r="F514" s="0" t="n">
        <f aca="false">SALIDAS[[#This Row],[Cantidad ]]*0.25</f>
        <v>0.25</v>
      </c>
    </row>
    <row r="515" customFormat="false" ht="15.75" hidden="true" customHeight="false" outlineLevel="0" collapsed="false">
      <c r="A515" s="24" t="s">
        <v>220</v>
      </c>
      <c r="B515" s="23" t="n">
        <v>44070</v>
      </c>
      <c r="C515" s="7" t="s">
        <v>117</v>
      </c>
      <c r="D515" s="24" t="str">
        <f aca="false">VLOOKUP(SALIDAS[[Código Producto ]],PRODUCTOS[],2,0)</f>
        <v>Tocino Ahumado Redondo  x 200g (ROJO)</v>
      </c>
      <c r="E515" s="24" t="n">
        <v>1</v>
      </c>
      <c r="F515" s="0" t="n">
        <f aca="false">SALIDAS[[#This Row],[Cantidad ]]*0.2</f>
        <v>0.2</v>
      </c>
    </row>
    <row r="516" customFormat="false" ht="15.75" hidden="true" customHeight="false" outlineLevel="0" collapsed="false">
      <c r="A516" s="24" t="s">
        <v>220</v>
      </c>
      <c r="B516" s="23" t="n">
        <v>44070</v>
      </c>
      <c r="C516" s="7" t="s">
        <v>95</v>
      </c>
      <c r="D516" s="24" t="str">
        <f aca="false">VLOOKUP(SALIDAS[[Código Producto ]],PRODUCTOS[],2,0)</f>
        <v>Morcilla Cocktail x10</v>
      </c>
      <c r="E516" s="24" t="n">
        <v>1</v>
      </c>
      <c r="F516" s="0" t="n">
        <f aca="false">SALIDAS[[#This Row],[Cantidad ]]*0.25</f>
        <v>0.25</v>
      </c>
    </row>
    <row r="517" customFormat="false" ht="15.75" hidden="true" customHeight="false" outlineLevel="0" collapsed="false">
      <c r="A517" s="24" t="s">
        <v>220</v>
      </c>
      <c r="B517" s="23" t="n">
        <v>44070</v>
      </c>
      <c r="C517" s="7" t="s">
        <v>125</v>
      </c>
      <c r="D517" s="24" t="str">
        <f aca="false">VLOOKUP(SALIDAS[[Código Producto ]],PRODUCTOS[],2,0)</f>
        <v>Vienesa x 5 unidades X 250g</v>
      </c>
      <c r="E517" s="24" t="n">
        <v>1</v>
      </c>
      <c r="F517" s="0" t="n">
        <f aca="false">SALIDAS[[#This Row],[Cantidad ]]*0.25</f>
        <v>0.25</v>
      </c>
    </row>
    <row r="518" customFormat="false" ht="15.75" hidden="true" customHeight="false" outlineLevel="0" collapsed="false">
      <c r="A518" s="24" t="s">
        <v>220</v>
      </c>
      <c r="B518" s="23" t="n">
        <v>44070</v>
      </c>
      <c r="C518" s="7" t="s">
        <v>135</v>
      </c>
      <c r="D518" s="24" t="str">
        <f aca="false">VLOOKUP(SALIDAS[[Código Producto ]],PRODUCTOS[],2,0)</f>
        <v>Jamon tata a las finas hierbas x 250 g</v>
      </c>
      <c r="E518" s="24" t="n">
        <v>1</v>
      </c>
      <c r="F518" s="0" t="n">
        <f aca="false">SALIDAS[[#This Row],[Cantidad ]]*0.25</f>
        <v>0.25</v>
      </c>
    </row>
    <row r="519" customFormat="false" ht="15.75" hidden="true" customHeight="false" outlineLevel="0" collapsed="false">
      <c r="A519" s="24" t="s">
        <v>220</v>
      </c>
      <c r="B519" s="23" t="n">
        <v>44070</v>
      </c>
      <c r="C519" s="7" t="s">
        <v>131</v>
      </c>
      <c r="D519" s="24" t="str">
        <f aca="false">VLOOKUP(SALIDAS[[Código Producto ]],PRODUCTOS[],2,0)</f>
        <v>Jamon tata x 250 gr</v>
      </c>
      <c r="E519" s="24" t="n">
        <v>1</v>
      </c>
      <c r="F519" s="0" t="n">
        <f aca="false">SALIDAS[[#This Row],[Cantidad ]]*25</f>
        <v>25</v>
      </c>
    </row>
    <row r="520" customFormat="false" ht="15.75" hidden="true" customHeight="false" outlineLevel="0" collapsed="false">
      <c r="A520" s="24" t="s">
        <v>220</v>
      </c>
      <c r="B520" s="23" t="n">
        <v>44070</v>
      </c>
      <c r="C520" s="7" t="s">
        <v>139</v>
      </c>
      <c r="D520" s="24" t="str">
        <f aca="false">VLOOKUP(SALIDAS[[Código Producto ]],PRODUCTOS[],2,0)</f>
        <v>Jamon La nonna x 250g</v>
      </c>
      <c r="E520" s="24" t="n">
        <v>1</v>
      </c>
      <c r="F520" s="0" t="n">
        <f aca="false">SALIDAS[[#This Row],[Cantidad ]]*0.25</f>
        <v>0.25</v>
      </c>
    </row>
    <row r="521" customFormat="false" ht="15.75" hidden="true" customHeight="false" outlineLevel="0" collapsed="false">
      <c r="A521" s="24" t="s">
        <v>220</v>
      </c>
      <c r="B521" s="23" t="n">
        <v>44070</v>
      </c>
      <c r="C521" s="7" t="s">
        <v>28</v>
      </c>
      <c r="D521" s="24" t="str">
        <f aca="false">VLOOKUP(SALIDAS[[Código Producto ]],PRODUCTOS[],2,0)</f>
        <v>Chorizo Oxford x 4 unidades 400g</v>
      </c>
      <c r="E521" s="24" t="n">
        <v>1</v>
      </c>
      <c r="F521" s="0" t="n">
        <f aca="false">SALIDAS[[#This Row],[Cantidad ]]*0.4</f>
        <v>0.4</v>
      </c>
    </row>
    <row r="522" customFormat="false" ht="15.75" hidden="true" customHeight="false" outlineLevel="0" collapsed="false">
      <c r="A522" s="24" t="s">
        <v>220</v>
      </c>
      <c r="B522" s="23" t="n">
        <v>44070</v>
      </c>
      <c r="C522" s="7" t="s">
        <v>26</v>
      </c>
      <c r="D522" s="24" t="str">
        <f aca="false">VLOOKUP(SALIDAS[[Código Producto ]],PRODUCTOS[],2,0)</f>
        <v>Chorizo Oxford x 10 unidades 250g</v>
      </c>
      <c r="E522" s="24" t="n">
        <v>1</v>
      </c>
      <c r="F522" s="0" t="n">
        <f aca="false">SALIDAS[[#This Row],[Cantidad ]]*0.25</f>
        <v>0.25</v>
      </c>
    </row>
    <row r="523" customFormat="false" ht="15.75" hidden="true" customHeight="false" outlineLevel="0" collapsed="false">
      <c r="A523" s="24" t="s">
        <v>221</v>
      </c>
      <c r="B523" s="23" t="n">
        <v>44070</v>
      </c>
      <c r="C523" s="7" t="s">
        <v>20</v>
      </c>
      <c r="D523" s="24" t="str">
        <f aca="false">VLOOKUP(SALIDAS[[Código Producto ]],PRODUCTOS[],2,0)</f>
        <v>Chorizo finas hierbas x 4 unidades 400g</v>
      </c>
      <c r="E523" s="24" t="n">
        <v>1</v>
      </c>
      <c r="F523" s="0" t="n">
        <f aca="false">SALIDAS[[#This Row],[Cantidad ]]*0.4</f>
        <v>0.4</v>
      </c>
    </row>
    <row r="524" customFormat="false" ht="15.75" hidden="true" customHeight="false" outlineLevel="0" collapsed="false">
      <c r="A524" s="24" t="s">
        <v>221</v>
      </c>
      <c r="B524" s="23" t="n">
        <v>44070</v>
      </c>
      <c r="C524" s="7" t="s">
        <v>18</v>
      </c>
      <c r="D524" s="24" t="str">
        <f aca="false">VLOOKUP(SALIDAS[[Código Producto ]],PRODUCTOS[],2,0)</f>
        <v>Chorizo finas hierbas x 10 unidades 250g</v>
      </c>
      <c r="E524" s="24" t="n">
        <v>1</v>
      </c>
      <c r="F524" s="0" t="n">
        <f aca="false">SALIDAS[[#This Row],[Cantidad ]]*0.25</f>
        <v>0.25</v>
      </c>
    </row>
    <row r="525" customFormat="false" ht="15.75" hidden="true" customHeight="false" outlineLevel="0" collapsed="false">
      <c r="A525" s="24" t="s">
        <v>221</v>
      </c>
      <c r="B525" s="23" t="n">
        <v>44070</v>
      </c>
      <c r="C525" s="7" t="s">
        <v>32</v>
      </c>
      <c r="D525" s="24" t="str">
        <f aca="false">VLOOKUP(SALIDAS[[Código Producto ]],PRODUCTOS[],2,0)</f>
        <v>Chorizo Sweet Spicy 400g</v>
      </c>
      <c r="E525" s="24" t="n">
        <v>1</v>
      </c>
      <c r="F525" s="0" t="n">
        <f aca="false">SALIDAS[[#This Row],[Cantidad ]]*0.4</f>
        <v>0.4</v>
      </c>
    </row>
    <row r="526" customFormat="false" ht="15.75" hidden="true" customHeight="false" outlineLevel="0" collapsed="false">
      <c r="A526" s="24" t="s">
        <v>221</v>
      </c>
      <c r="B526" s="23" t="n">
        <v>44070</v>
      </c>
      <c r="C526" s="7" t="s">
        <v>47</v>
      </c>
      <c r="D526" s="24" t="str">
        <f aca="false">VLOOKUP(SALIDAS[[Código Producto ]],PRODUCTOS[],2,0)</f>
        <v>Frankfurter granel x 4 unidades 250g</v>
      </c>
      <c r="E526" s="24" t="n">
        <v>1</v>
      </c>
      <c r="F526" s="0" t="n">
        <f aca="false">SALIDAS[[#This Row],[Cantidad ]]*0.25</f>
        <v>0.25</v>
      </c>
    </row>
    <row r="527" customFormat="false" ht="15.75" hidden="true" customHeight="false" outlineLevel="0" collapsed="false">
      <c r="A527" s="24" t="s">
        <v>221</v>
      </c>
      <c r="B527" s="23" t="n">
        <v>44070</v>
      </c>
      <c r="C527" s="7" t="s">
        <v>41</v>
      </c>
      <c r="D527" s="24" t="str">
        <f aca="false">VLOOKUP(SALIDAS[[Código Producto ]],PRODUCTOS[],2,0)</f>
        <v>Frankfurter cocktail x 10 unidades x 250g</v>
      </c>
      <c r="E527" s="24" t="n">
        <v>1</v>
      </c>
      <c r="F527" s="0" t="n">
        <f aca="false">SALIDAS[[#This Row],[Cantidad ]]*0.25</f>
        <v>0.25</v>
      </c>
    </row>
    <row r="528" customFormat="false" ht="15.75" hidden="true" customHeight="false" outlineLevel="0" collapsed="false">
      <c r="A528" s="24" t="s">
        <v>221</v>
      </c>
      <c r="B528" s="23" t="n">
        <v>44070</v>
      </c>
      <c r="C528" s="7" t="s">
        <v>49</v>
      </c>
      <c r="D528" s="24" t="str">
        <f aca="false">VLOOKUP(SALIDAS[[Código Producto ]],PRODUCTOS[],2,0)</f>
        <v>Frankfurter municipal x 3 unidades </v>
      </c>
      <c r="E528" s="24" t="n">
        <v>1</v>
      </c>
      <c r="F528" s="0" t="n">
        <f aca="false">SALIDAS[[#This Row],[Cantidad ]]*0.45</f>
        <v>0.45</v>
      </c>
    </row>
    <row r="529" customFormat="false" ht="15.75" hidden="true" customHeight="false" outlineLevel="0" collapsed="false">
      <c r="A529" s="24" t="s">
        <v>221</v>
      </c>
      <c r="B529" s="23" t="n">
        <v>44070</v>
      </c>
      <c r="C529" s="7" t="s">
        <v>8</v>
      </c>
      <c r="D529" s="24" t="str">
        <f aca="false">VLOOKUP(SALIDAS[[Código Producto ]],PRODUCTOS[],2,0)</f>
        <v>Bratwurst x 4 unidades 320g </v>
      </c>
      <c r="E529" s="24" t="n">
        <v>1</v>
      </c>
      <c r="F529" s="0" t="n">
        <f aca="false">SALIDAS[[#This Row],[Cantidad ]]*0.32</f>
        <v>0.32</v>
      </c>
    </row>
    <row r="530" customFormat="false" ht="15.75" hidden="true" customHeight="false" outlineLevel="0" collapsed="false">
      <c r="A530" s="24" t="s">
        <v>221</v>
      </c>
      <c r="B530" s="23" t="n">
        <v>44070</v>
      </c>
      <c r="C530" s="7" t="s">
        <v>14</v>
      </c>
      <c r="D530" s="24" t="str">
        <f aca="false">VLOOKUP(SALIDAS[[Código Producto ]],PRODUCTOS[],2,0)</f>
        <v>Chistorra Huachana x 6 unidades 150g</v>
      </c>
      <c r="E530" s="24" t="n">
        <v>1</v>
      </c>
      <c r="F530" s="0" t="n">
        <f aca="false">SALIDAS[[#This Row],[Cantidad ]]*0.15</f>
        <v>0.15</v>
      </c>
    </row>
    <row r="531" customFormat="false" ht="15.75" hidden="true" customHeight="false" outlineLevel="0" collapsed="false">
      <c r="A531" s="24" t="s">
        <v>221</v>
      </c>
      <c r="B531" s="23" t="n">
        <v>44070</v>
      </c>
      <c r="C531" s="7" t="s">
        <v>75</v>
      </c>
      <c r="D531" s="24" t="str">
        <f aca="false">VLOOKUP(SALIDAS[[Código Producto ]],PRODUCTOS[],2,0)</f>
        <v>Jamon Ingles x 250g</v>
      </c>
      <c r="E531" s="24" t="n">
        <v>1</v>
      </c>
      <c r="F531" s="0" t="n">
        <f aca="false">SALIDAS[[#This Row],[Cantidad ]]*0.25</f>
        <v>0.25</v>
      </c>
    </row>
    <row r="532" customFormat="false" ht="15.75" hidden="true" customHeight="false" outlineLevel="0" collapsed="false">
      <c r="A532" s="24" t="s">
        <v>221</v>
      </c>
      <c r="B532" s="23" t="n">
        <v>44070</v>
      </c>
      <c r="C532" s="7" t="s">
        <v>69</v>
      </c>
      <c r="D532" s="24" t="str">
        <f aca="false">VLOOKUP(SALIDAS[[Código Producto ]],PRODUCTOS[],2,0)</f>
        <v>Jamon del país artesanal 250g</v>
      </c>
      <c r="E532" s="24" t="n">
        <v>1</v>
      </c>
      <c r="F532" s="0" t="n">
        <f aca="false">SALIDAS[[#This Row],[Cantidad ]]*0.25</f>
        <v>0.25</v>
      </c>
    </row>
    <row r="533" customFormat="false" ht="15.75" hidden="true" customHeight="false" outlineLevel="0" collapsed="false">
      <c r="A533" s="24" t="s">
        <v>221</v>
      </c>
      <c r="B533" s="23" t="n">
        <v>44070</v>
      </c>
      <c r="C533" s="7" t="s">
        <v>81</v>
      </c>
      <c r="D533" s="24" t="str">
        <f aca="false">VLOOKUP(SALIDAS[[Código Producto ]],PRODUCTOS[],2,0)</f>
        <v>Jamon pizza x 250g</v>
      </c>
      <c r="E533" s="24" t="n">
        <v>1</v>
      </c>
      <c r="F533" s="0" t="n">
        <f aca="false">SALIDAS[[#This Row],[Cantidad ]]*0.25</f>
        <v>0.25</v>
      </c>
    </row>
    <row r="534" customFormat="false" ht="15.75" hidden="true" customHeight="false" outlineLevel="0" collapsed="false">
      <c r="A534" s="24" t="s">
        <v>221</v>
      </c>
      <c r="B534" s="23" t="n">
        <v>44070</v>
      </c>
      <c r="C534" s="7" t="s">
        <v>111</v>
      </c>
      <c r="D534" s="24" t="str">
        <f aca="false">VLOOKUP(SALIDAS[[Código Producto ]],PRODUCTOS[],2,0)</f>
        <v>Tocino Ahumado Natural x250g</v>
      </c>
      <c r="E534" s="24" t="n">
        <v>1</v>
      </c>
      <c r="F534" s="0" t="n">
        <f aca="false">SALIDAS[[#This Row],[Cantidad ]]*0.25</f>
        <v>0.25</v>
      </c>
    </row>
    <row r="535" customFormat="false" ht="15.75" hidden="true" customHeight="false" outlineLevel="0" collapsed="false">
      <c r="A535" s="24" t="s">
        <v>221</v>
      </c>
      <c r="B535" s="23" t="n">
        <v>44070</v>
      </c>
      <c r="C535" s="7" t="s">
        <v>117</v>
      </c>
      <c r="D535" s="24" t="str">
        <f aca="false">VLOOKUP(SALIDAS[[Código Producto ]],PRODUCTOS[],2,0)</f>
        <v>Tocino Ahumado Redondo  x 200g (ROJO)</v>
      </c>
      <c r="E535" s="24" t="n">
        <v>1</v>
      </c>
      <c r="F535" s="0" t="n">
        <f aca="false">SALIDAS[[#This Row],[Cantidad ]]*0.2</f>
        <v>0.2</v>
      </c>
    </row>
    <row r="536" customFormat="false" ht="15.75" hidden="true" customHeight="false" outlineLevel="0" collapsed="false">
      <c r="A536" s="24" t="s">
        <v>221</v>
      </c>
      <c r="B536" s="23" t="n">
        <v>44070</v>
      </c>
      <c r="C536" s="7" t="s">
        <v>95</v>
      </c>
      <c r="D536" s="24" t="str">
        <f aca="false">VLOOKUP(SALIDAS[[Código Producto ]],PRODUCTOS[],2,0)</f>
        <v>Morcilla Cocktail x10</v>
      </c>
      <c r="E536" s="24" t="n">
        <v>1</v>
      </c>
      <c r="F536" s="0" t="n">
        <f aca="false">SALIDAS[[#This Row],[Cantidad ]]*0.25</f>
        <v>0.25</v>
      </c>
    </row>
    <row r="537" customFormat="false" ht="15.75" hidden="true" customHeight="false" outlineLevel="0" collapsed="false">
      <c r="A537" s="24" t="s">
        <v>221</v>
      </c>
      <c r="B537" s="23" t="n">
        <v>44070</v>
      </c>
      <c r="C537" s="7" t="s">
        <v>125</v>
      </c>
      <c r="D537" s="24" t="str">
        <f aca="false">VLOOKUP(SALIDAS[[Código Producto ]],PRODUCTOS[],2,0)</f>
        <v>Vienesa x 5 unidades X 250g</v>
      </c>
      <c r="E537" s="24" t="n">
        <v>1</v>
      </c>
      <c r="F537" s="0" t="n">
        <f aca="false">SALIDAS[[#This Row],[Cantidad ]]*0.25</f>
        <v>0.25</v>
      </c>
    </row>
    <row r="538" customFormat="false" ht="15.75" hidden="true" customHeight="false" outlineLevel="0" collapsed="false">
      <c r="A538" s="24" t="s">
        <v>221</v>
      </c>
      <c r="B538" s="23" t="n">
        <v>44070</v>
      </c>
      <c r="C538" s="7" t="s">
        <v>135</v>
      </c>
      <c r="D538" s="24" t="str">
        <f aca="false">VLOOKUP(SALIDAS[[Código Producto ]],PRODUCTOS[],2,0)</f>
        <v>Jamon tata a las finas hierbas x 250 g</v>
      </c>
      <c r="E538" s="24" t="n">
        <v>1</v>
      </c>
      <c r="F538" s="0" t="n">
        <f aca="false">SALIDAS[[#This Row],[Cantidad ]]*0.25</f>
        <v>0.25</v>
      </c>
    </row>
    <row r="539" customFormat="false" ht="15.75" hidden="true" customHeight="false" outlineLevel="0" collapsed="false">
      <c r="A539" s="24" t="s">
        <v>221</v>
      </c>
      <c r="B539" s="23" t="n">
        <v>44070</v>
      </c>
      <c r="C539" s="7" t="s">
        <v>131</v>
      </c>
      <c r="D539" s="24" t="str">
        <f aca="false">VLOOKUP(SALIDAS[[Código Producto ]],PRODUCTOS[],2,0)</f>
        <v>Jamon tata x 250 gr</v>
      </c>
      <c r="E539" s="24" t="n">
        <v>1</v>
      </c>
      <c r="F539" s="0" t="n">
        <f aca="false">SALIDAS[[#This Row],[Cantidad ]]*0.25</f>
        <v>0.25</v>
      </c>
    </row>
    <row r="540" customFormat="false" ht="15.75" hidden="true" customHeight="false" outlineLevel="0" collapsed="false">
      <c r="A540" s="24" t="s">
        <v>221</v>
      </c>
      <c r="B540" s="23" t="n">
        <v>44070</v>
      </c>
      <c r="C540" s="7" t="s">
        <v>139</v>
      </c>
      <c r="D540" s="24" t="str">
        <f aca="false">VLOOKUP(SALIDAS[[Código Producto ]],PRODUCTOS[],2,0)</f>
        <v>Jamon La nonna x 250g</v>
      </c>
      <c r="E540" s="24" t="n">
        <v>1</v>
      </c>
      <c r="F540" s="0" t="n">
        <f aca="false">SALIDAS[[#This Row],[Cantidad ]]*0.25</f>
        <v>0.25</v>
      </c>
    </row>
    <row r="541" customFormat="false" ht="15.75" hidden="true" customHeight="false" outlineLevel="0" collapsed="false">
      <c r="A541" s="24" t="s">
        <v>222</v>
      </c>
      <c r="B541" s="23" t="n">
        <v>44070</v>
      </c>
      <c r="C541" s="7" t="s">
        <v>28</v>
      </c>
      <c r="D541" s="24" t="str">
        <f aca="false">VLOOKUP(SALIDAS[[Código Producto ]],PRODUCTOS[],2,0)</f>
        <v>Chorizo Oxford x 4 unidades 400g</v>
      </c>
      <c r="E541" s="24" t="n">
        <v>1</v>
      </c>
      <c r="F541" s="0" t="n">
        <f aca="false">SALIDAS[[#This Row],[Cantidad ]]*0.4</f>
        <v>0.4</v>
      </c>
    </row>
    <row r="542" customFormat="false" ht="15.75" hidden="true" customHeight="false" outlineLevel="0" collapsed="false">
      <c r="A542" s="24" t="s">
        <v>222</v>
      </c>
      <c r="B542" s="23" t="n">
        <v>44070</v>
      </c>
      <c r="C542" s="7" t="s">
        <v>20</v>
      </c>
      <c r="D542" s="24" t="str">
        <f aca="false">VLOOKUP(SALIDAS[[Código Producto ]],PRODUCTOS[],2,0)</f>
        <v>Chorizo finas hierbas x 4 unidades 400g</v>
      </c>
      <c r="E542" s="24" t="n">
        <v>1</v>
      </c>
      <c r="F542" s="0" t="n">
        <f aca="false">SALIDAS[[#This Row],[Cantidad ]]*0.4</f>
        <v>0.4</v>
      </c>
    </row>
    <row r="543" customFormat="false" ht="15.75" hidden="false" customHeight="false" outlineLevel="0" collapsed="false">
      <c r="A543" s="24" t="s">
        <v>158</v>
      </c>
      <c r="B543" s="23" t="n">
        <v>44070</v>
      </c>
      <c r="C543" s="7" t="s">
        <v>79</v>
      </c>
      <c r="D543" s="24" t="str">
        <f aca="false">VLOOKUP(SALIDAS[[Código Producto ]],PRODUCTOS[],2,0)</f>
        <v>Jamon pizza  x 3.2 Kg (Entero)</v>
      </c>
      <c r="E543" s="24" t="n">
        <v>18.94</v>
      </c>
      <c r="F543" s="0" t="n">
        <f aca="false">SALIDAS[[#This Row],[Cantidad ]]</f>
        <v>18.94</v>
      </c>
    </row>
    <row r="544" customFormat="false" ht="15.75" hidden="false" customHeight="false" outlineLevel="0" collapsed="false">
      <c r="A544" s="24" t="s">
        <v>223</v>
      </c>
      <c r="B544" s="23" t="n">
        <v>44070</v>
      </c>
      <c r="C544" s="7" t="s">
        <v>30</v>
      </c>
      <c r="D544" s="24" t="str">
        <f aca="false">VLOOKUP(SALIDAS[[Código Producto ]],PRODUCTOS[],2,0)</f>
        <v>Chorizo Oxford x 6 unidades 600g</v>
      </c>
      <c r="E544" s="24" t="n">
        <v>1</v>
      </c>
      <c r="F544" s="0" t="n">
        <f aca="false">SALIDAS[[#This Row],[Cantidad ]]*0.6</f>
        <v>0.6</v>
      </c>
    </row>
    <row r="545" customFormat="false" ht="15.75" hidden="false" customHeight="false" outlineLevel="0" collapsed="false">
      <c r="A545" s="24" t="s">
        <v>223</v>
      </c>
      <c r="B545" s="23" t="n">
        <v>44070</v>
      </c>
      <c r="C545" s="7" t="s">
        <v>28</v>
      </c>
      <c r="D545" s="24" t="str">
        <f aca="false">VLOOKUP(SALIDAS[[Código Producto ]],PRODUCTOS[],2,0)</f>
        <v>Chorizo Oxford x 4 unidades 400g</v>
      </c>
      <c r="E545" s="24" t="n">
        <v>2</v>
      </c>
      <c r="F545" s="0" t="n">
        <f aca="false">SALIDAS[[#This Row],[Cantidad ]]*0.4</f>
        <v>0.8</v>
      </c>
    </row>
    <row r="546" customFormat="false" ht="15.75" hidden="false" customHeight="false" outlineLevel="0" collapsed="false">
      <c r="A546" s="24" t="s">
        <v>223</v>
      </c>
      <c r="B546" s="23" t="n">
        <v>44070</v>
      </c>
      <c r="C546" s="7" t="s">
        <v>20</v>
      </c>
      <c r="D546" s="24" t="str">
        <f aca="false">VLOOKUP(SALIDAS[[Código Producto ]],PRODUCTOS[],2,0)</f>
        <v>Chorizo finas hierbas x 4 unidades 400g</v>
      </c>
      <c r="E546" s="24" t="n">
        <v>2</v>
      </c>
      <c r="F546" s="0" t="n">
        <f aca="false">SALIDAS[[#This Row],[Cantidad ]]*0.4</f>
        <v>0.8</v>
      </c>
    </row>
    <row r="547" customFormat="false" ht="15.75" hidden="false" customHeight="false" outlineLevel="0" collapsed="false">
      <c r="A547" s="24" t="s">
        <v>223</v>
      </c>
      <c r="B547" s="23" t="n">
        <v>44070</v>
      </c>
      <c r="C547" s="7" t="s">
        <v>14</v>
      </c>
      <c r="D547" s="24" t="str">
        <f aca="false">VLOOKUP(SALIDAS[[Código Producto ]],PRODUCTOS[],2,0)</f>
        <v>Chistorra Huachana x 6 unidades 150g</v>
      </c>
      <c r="E547" s="24" t="n">
        <v>2</v>
      </c>
      <c r="F547" s="0" t="n">
        <f aca="false">SALIDAS[[#This Row],[Cantidad ]]*0.15</f>
        <v>0.3</v>
      </c>
    </row>
    <row r="548" customFormat="false" ht="15.75" hidden="false" customHeight="false" outlineLevel="0" collapsed="false">
      <c r="A548" s="24" t="s">
        <v>223</v>
      </c>
      <c r="B548" s="23" t="n">
        <v>44070</v>
      </c>
      <c r="C548" s="7" t="s">
        <v>69</v>
      </c>
      <c r="D548" s="24" t="str">
        <f aca="false">VLOOKUP(SALIDAS[[Código Producto ]],PRODUCTOS[],2,0)</f>
        <v>Jamon del país artesanal 250g</v>
      </c>
      <c r="E548" s="24" t="n">
        <v>1</v>
      </c>
      <c r="F548" s="0" t="n">
        <f aca="false">SALIDAS[[#This Row],[Cantidad ]]*0.25</f>
        <v>0.25</v>
      </c>
    </row>
    <row r="549" customFormat="false" ht="15.75" hidden="false" customHeight="false" outlineLevel="0" collapsed="false">
      <c r="A549" s="24" t="s">
        <v>223</v>
      </c>
      <c r="B549" s="23" t="n">
        <v>44070</v>
      </c>
      <c r="C549" s="7" t="s">
        <v>109</v>
      </c>
      <c r="D549" s="24" t="str">
        <f aca="false">VLOOKUP(SALIDAS[[Código Producto ]],PRODUCTOS[],2,0)</f>
        <v>Tocino Ahumado Natural x200g</v>
      </c>
      <c r="E549" s="24" t="n">
        <v>2</v>
      </c>
      <c r="F549" s="0" t="n">
        <f aca="false">SALIDAS[[#This Row],[Cantidad ]]*0.2</f>
        <v>0.4</v>
      </c>
    </row>
    <row r="550" customFormat="false" ht="15.75" hidden="false" customHeight="false" outlineLevel="0" collapsed="false">
      <c r="A550" s="24" t="s">
        <v>223</v>
      </c>
      <c r="B550" s="23" t="n">
        <v>44070</v>
      </c>
      <c r="C550" s="7" t="s">
        <v>32</v>
      </c>
      <c r="D550" s="24" t="str">
        <f aca="false">VLOOKUP(SALIDAS[[Código Producto ]],PRODUCTOS[],2,0)</f>
        <v>Chorizo Sweet Spicy 400g</v>
      </c>
      <c r="E550" s="24" t="n">
        <v>2</v>
      </c>
      <c r="F550" s="0" t="n">
        <f aca="false">SALIDAS[[#This Row],[Cantidad ]]*0.4</f>
        <v>0.8</v>
      </c>
    </row>
    <row r="551" customFormat="false" ht="15.75" hidden="true" customHeight="false" outlineLevel="0" collapsed="false">
      <c r="A551" s="24" t="s">
        <v>224</v>
      </c>
      <c r="B551" s="23" t="n">
        <v>44070</v>
      </c>
      <c r="C551" s="7" t="s">
        <v>47</v>
      </c>
      <c r="D551" s="24" t="str">
        <f aca="false">VLOOKUP(SALIDAS[[Código Producto ]],PRODUCTOS[],2,0)</f>
        <v>Frankfurter granel x 4 unidades 250g</v>
      </c>
      <c r="E551" s="24" t="n">
        <v>1</v>
      </c>
      <c r="F551" s="0" t="n">
        <f aca="false">SALIDAS[[#This Row],[Cantidad ]]*0.24</f>
        <v>0.24</v>
      </c>
    </row>
    <row r="552" customFormat="false" ht="15.75" hidden="true" customHeight="false" outlineLevel="0" collapsed="false">
      <c r="A552" s="24" t="s">
        <v>224</v>
      </c>
      <c r="B552" s="23" t="n">
        <v>44070</v>
      </c>
      <c r="C552" s="7" t="s">
        <v>8</v>
      </c>
      <c r="D552" s="24" t="str">
        <f aca="false">VLOOKUP(SALIDAS[[Código Producto ]],PRODUCTOS[],2,0)</f>
        <v>Bratwurst x 4 unidades 320g </v>
      </c>
      <c r="E552" s="24" t="n">
        <v>1</v>
      </c>
      <c r="F552" s="0" t="n">
        <f aca="false">SALIDAS[[#This Row],[Cantidad ]]*0.32</f>
        <v>0.32</v>
      </c>
    </row>
    <row r="553" customFormat="false" ht="15.75" hidden="true" customHeight="false" outlineLevel="0" collapsed="false">
      <c r="A553" s="24" t="s">
        <v>224</v>
      </c>
      <c r="B553" s="23" t="n">
        <v>44070</v>
      </c>
      <c r="C553" s="7" t="s">
        <v>117</v>
      </c>
      <c r="D553" s="24" t="str">
        <f aca="false">VLOOKUP(SALIDAS[[Código Producto ]],PRODUCTOS[],2,0)</f>
        <v>Tocino Ahumado Redondo  x 200g (ROJO)</v>
      </c>
      <c r="E553" s="24" t="n">
        <v>1</v>
      </c>
      <c r="F553" s="0" t="n">
        <f aca="false">SALIDAS[[#This Row],[Cantidad ]]*0.2</f>
        <v>0.2</v>
      </c>
    </row>
    <row r="554" customFormat="false" ht="15.75" hidden="true" customHeight="false" outlineLevel="0" collapsed="false">
      <c r="A554" s="24" t="s">
        <v>224</v>
      </c>
      <c r="B554" s="23" t="n">
        <v>44070</v>
      </c>
      <c r="C554" s="7" t="s">
        <v>30</v>
      </c>
      <c r="D554" s="24" t="str">
        <f aca="false">VLOOKUP(SALIDAS[[Código Producto ]],PRODUCTOS[],2,0)</f>
        <v>Chorizo Oxford x 6 unidades 600g</v>
      </c>
      <c r="E554" s="24" t="n">
        <v>1</v>
      </c>
      <c r="F554" s="0" t="n">
        <f aca="false">SALIDAS[[#This Row],[Cantidad ]]*0.6</f>
        <v>0.6</v>
      </c>
    </row>
    <row r="555" customFormat="false" ht="15.75" hidden="true" customHeight="false" outlineLevel="0" collapsed="false">
      <c r="A555" s="24" t="s">
        <v>225</v>
      </c>
      <c r="B555" s="23" t="n">
        <v>44070</v>
      </c>
      <c r="C555" s="7" t="s">
        <v>28</v>
      </c>
      <c r="D555" s="24" t="str">
        <f aca="false">VLOOKUP(SALIDAS[[Código Producto ]],PRODUCTOS[],2,0)</f>
        <v>Chorizo Oxford x 4 unidades 400g</v>
      </c>
      <c r="E555" s="24" t="n">
        <v>1</v>
      </c>
      <c r="F555" s="0" t="n">
        <f aca="false">SALIDAS[[#This Row],[Cantidad ]]*0.4</f>
        <v>0.4</v>
      </c>
    </row>
    <row r="556" customFormat="false" ht="15.75" hidden="true" customHeight="false" outlineLevel="0" collapsed="false">
      <c r="A556" s="24" t="s">
        <v>225</v>
      </c>
      <c r="B556" s="23" t="n">
        <v>44070</v>
      </c>
      <c r="C556" s="7" t="s">
        <v>26</v>
      </c>
      <c r="D556" s="24" t="str">
        <f aca="false">VLOOKUP(SALIDAS[[Código Producto ]],PRODUCTOS[],2,0)</f>
        <v>Chorizo Oxford x 10 unidades 250g</v>
      </c>
      <c r="E556" s="24" t="n">
        <v>1</v>
      </c>
      <c r="F556" s="0" t="n">
        <f aca="false">SALIDAS[[#This Row],[Cantidad ]]*0.25</f>
        <v>0.25</v>
      </c>
    </row>
    <row r="557" customFormat="false" ht="15.75" hidden="true" customHeight="false" outlineLevel="0" collapsed="false">
      <c r="A557" s="24" t="s">
        <v>225</v>
      </c>
      <c r="B557" s="23" t="n">
        <v>44070</v>
      </c>
      <c r="C557" s="7" t="s">
        <v>20</v>
      </c>
      <c r="D557" s="24" t="str">
        <f aca="false">VLOOKUP(SALIDAS[[Código Producto ]],PRODUCTOS[],2,0)</f>
        <v>Chorizo finas hierbas x 4 unidades 400g</v>
      </c>
      <c r="E557" s="24" t="n">
        <v>1</v>
      </c>
      <c r="F557" s="0" t="n">
        <f aca="false">SALIDAS[[#This Row],[Cantidad ]]*0.4</f>
        <v>0.4</v>
      </c>
    </row>
    <row r="558" customFormat="false" ht="15.75" hidden="true" customHeight="false" outlineLevel="0" collapsed="false">
      <c r="A558" s="24" t="s">
        <v>225</v>
      </c>
      <c r="B558" s="23" t="n">
        <v>44070</v>
      </c>
      <c r="C558" s="7" t="s">
        <v>18</v>
      </c>
      <c r="D558" s="24" t="str">
        <f aca="false">VLOOKUP(SALIDAS[[Código Producto ]],PRODUCTOS[],2,0)</f>
        <v>Chorizo finas hierbas x 10 unidades 250g</v>
      </c>
      <c r="E558" s="24" t="n">
        <v>1</v>
      </c>
      <c r="F558" s="0" t="n">
        <f aca="false">SALIDAS[[#This Row],[Cantidad ]]*0.25</f>
        <v>0.25</v>
      </c>
    </row>
    <row r="559" customFormat="false" ht="15.75" hidden="true" customHeight="false" outlineLevel="0" collapsed="false">
      <c r="A559" s="24" t="s">
        <v>225</v>
      </c>
      <c r="B559" s="23" t="n">
        <v>44070</v>
      </c>
      <c r="C559" s="7" t="s">
        <v>32</v>
      </c>
      <c r="D559" s="24" t="str">
        <f aca="false">VLOOKUP(SALIDAS[[Código Producto ]],PRODUCTOS[],2,0)</f>
        <v>Chorizo Sweet Spicy 400g</v>
      </c>
      <c r="E559" s="24" t="n">
        <v>1</v>
      </c>
      <c r="F559" s="0" t="n">
        <f aca="false">SALIDAS[[#This Row],[Cantidad ]]*0.4</f>
        <v>0.4</v>
      </c>
    </row>
    <row r="560" customFormat="false" ht="15.75" hidden="true" customHeight="false" outlineLevel="0" collapsed="false">
      <c r="A560" s="24" t="s">
        <v>225</v>
      </c>
      <c r="B560" s="23" t="n">
        <v>44070</v>
      </c>
      <c r="C560" s="7" t="s">
        <v>49</v>
      </c>
      <c r="D560" s="24" t="str">
        <f aca="false">VLOOKUP(SALIDAS[[Código Producto ]],PRODUCTOS[],2,0)</f>
        <v>Frankfurter municipal x 3 unidades </v>
      </c>
      <c r="E560" s="24" t="n">
        <v>1</v>
      </c>
      <c r="F560" s="0" t="n">
        <f aca="false">SALIDAS[[#This Row],[Cantidad ]]*0.45</f>
        <v>0.45</v>
      </c>
    </row>
    <row r="561" customFormat="false" ht="15.75" hidden="true" customHeight="false" outlineLevel="0" collapsed="false">
      <c r="A561" s="24" t="s">
        <v>225</v>
      </c>
      <c r="B561" s="23" t="n">
        <v>44070</v>
      </c>
      <c r="C561" s="7" t="s">
        <v>47</v>
      </c>
      <c r="D561" s="24" t="str">
        <f aca="false">VLOOKUP(SALIDAS[[Código Producto ]],PRODUCTOS[],2,0)</f>
        <v>Frankfurter granel x 4 unidades 250g</v>
      </c>
      <c r="E561" s="24" t="n">
        <v>1</v>
      </c>
      <c r="F561" s="0" t="n">
        <f aca="false">SALIDAS[[#This Row],[Cantidad ]]*0.25</f>
        <v>0.25</v>
      </c>
    </row>
    <row r="562" customFormat="false" ht="15.75" hidden="true" customHeight="false" outlineLevel="0" collapsed="false">
      <c r="A562" s="24" t="s">
        <v>225</v>
      </c>
      <c r="B562" s="23" t="n">
        <v>44070</v>
      </c>
      <c r="C562" s="7" t="s">
        <v>41</v>
      </c>
      <c r="D562" s="24" t="str">
        <f aca="false">VLOOKUP(SALIDAS[[Código Producto ]],PRODUCTOS[],2,0)</f>
        <v>Frankfurter cocktail x 10 unidades x 250g</v>
      </c>
      <c r="E562" s="24" t="n">
        <v>1</v>
      </c>
      <c r="F562" s="0" t="n">
        <f aca="false">SALIDAS[[#This Row],[Cantidad ]]*0.25</f>
        <v>0.25</v>
      </c>
    </row>
    <row r="563" customFormat="false" ht="15.75" hidden="true" customHeight="false" outlineLevel="0" collapsed="false">
      <c r="A563" s="24" t="s">
        <v>225</v>
      </c>
      <c r="B563" s="23" t="n">
        <v>44070</v>
      </c>
      <c r="C563" s="7" t="s">
        <v>8</v>
      </c>
      <c r="D563" s="24" t="str">
        <f aca="false">VLOOKUP(SALIDAS[[Código Producto ]],PRODUCTOS[],2,0)</f>
        <v>Bratwurst x 4 unidades 320g </v>
      </c>
      <c r="E563" s="24" t="n">
        <v>1</v>
      </c>
      <c r="F563" s="0" t="n">
        <f aca="false">SALIDAS[[#This Row],[Cantidad ]]*0.32</f>
        <v>0.32</v>
      </c>
    </row>
    <row r="564" customFormat="false" ht="15.75" hidden="true" customHeight="false" outlineLevel="0" collapsed="false">
      <c r="A564" s="24" t="s">
        <v>225</v>
      </c>
      <c r="B564" s="23" t="n">
        <v>44070</v>
      </c>
      <c r="C564" s="7" t="s">
        <v>14</v>
      </c>
      <c r="D564" s="24" t="str">
        <f aca="false">VLOOKUP(SALIDAS[[Código Producto ]],PRODUCTOS[],2,0)</f>
        <v>Chistorra Huachana x 6 unidades 150g</v>
      </c>
      <c r="E564" s="24" t="n">
        <v>1</v>
      </c>
      <c r="F564" s="0" t="n">
        <f aca="false">SALIDAS[[#This Row],[Cantidad ]]*0.15</f>
        <v>0.15</v>
      </c>
    </row>
    <row r="565" customFormat="false" ht="15.75" hidden="true" customHeight="false" outlineLevel="0" collapsed="false">
      <c r="A565" s="24" t="s">
        <v>225</v>
      </c>
      <c r="B565" s="23" t="n">
        <v>44070</v>
      </c>
      <c r="C565" s="7" t="s">
        <v>93</v>
      </c>
      <c r="D565" s="24" t="str">
        <f aca="false">VLOOKUP(SALIDAS[[Código Producto ]],PRODUCTOS[],2,0)</f>
        <v>Longaniza Huachana x 350g</v>
      </c>
      <c r="E565" s="24" t="n">
        <v>1</v>
      </c>
      <c r="F565" s="0" t="n">
        <f aca="false">SALIDAS[[#This Row],[Cantidad ]]*0.34</f>
        <v>0.34</v>
      </c>
    </row>
    <row r="566" customFormat="false" ht="15.75" hidden="true" customHeight="false" outlineLevel="0" collapsed="false">
      <c r="A566" s="24" t="s">
        <v>225</v>
      </c>
      <c r="B566" s="23" t="n">
        <v>44070</v>
      </c>
      <c r="C566" s="7" t="s">
        <v>77</v>
      </c>
      <c r="D566" s="24" t="str">
        <f aca="false">VLOOKUP(SALIDAS[[Código Producto ]],PRODUCTOS[],2,0)</f>
        <v>Jamon Ingles x 300g </v>
      </c>
      <c r="E566" s="24" t="n">
        <v>1</v>
      </c>
      <c r="F566" s="0" t="n">
        <f aca="false">SALIDAS[[#This Row],[Cantidad ]]*0.3</f>
        <v>0.3</v>
      </c>
    </row>
    <row r="567" customFormat="false" ht="15.75" hidden="true" customHeight="false" outlineLevel="0" collapsed="false">
      <c r="A567" s="24" t="s">
        <v>225</v>
      </c>
      <c r="B567" s="23" t="n">
        <v>44070</v>
      </c>
      <c r="C567" s="7" t="s">
        <v>81</v>
      </c>
      <c r="D567" s="24" t="str">
        <f aca="false">VLOOKUP(SALIDAS[[Código Producto ]],PRODUCTOS[],2,0)</f>
        <v>Jamon pizza x 250g</v>
      </c>
      <c r="E567" s="24" t="n">
        <v>1</v>
      </c>
      <c r="F567" s="0" t="n">
        <f aca="false">SALIDAS[[#This Row],[Cantidad ]]*0.25</f>
        <v>0.25</v>
      </c>
    </row>
    <row r="568" customFormat="false" ht="15.75" hidden="true" customHeight="false" outlineLevel="0" collapsed="false">
      <c r="A568" s="24" t="s">
        <v>225</v>
      </c>
      <c r="B568" s="23" t="n">
        <v>44070</v>
      </c>
      <c r="C568" s="7" t="s">
        <v>69</v>
      </c>
      <c r="D568" s="24" t="str">
        <f aca="false">VLOOKUP(SALIDAS[[Código Producto ]],PRODUCTOS[],2,0)</f>
        <v>Jamon del país artesanal 250g</v>
      </c>
      <c r="E568" s="24" t="n">
        <v>1</v>
      </c>
      <c r="F568" s="0" t="n">
        <f aca="false">SALIDAS[[#This Row],[Cantidad ]]*0.25</f>
        <v>0.25</v>
      </c>
    </row>
    <row r="569" customFormat="false" ht="15.75" hidden="true" customHeight="false" outlineLevel="0" collapsed="false">
      <c r="A569" s="24" t="s">
        <v>225</v>
      </c>
      <c r="B569" s="23" t="n">
        <v>44070</v>
      </c>
      <c r="C569" s="7" t="s">
        <v>111</v>
      </c>
      <c r="D569" s="24" t="str">
        <f aca="false">VLOOKUP(SALIDAS[[Código Producto ]],PRODUCTOS[],2,0)</f>
        <v>Tocino Ahumado Natural x250g</v>
      </c>
      <c r="E569" s="24" t="n">
        <v>1</v>
      </c>
      <c r="F569" s="0" t="n">
        <f aca="false">SALIDAS[[#This Row],[Cantidad ]]*0.25</f>
        <v>0.25</v>
      </c>
    </row>
    <row r="570" customFormat="false" ht="15.75" hidden="true" customHeight="false" outlineLevel="0" collapsed="false">
      <c r="A570" s="24" t="s">
        <v>225</v>
      </c>
      <c r="B570" s="23" t="n">
        <v>44070</v>
      </c>
      <c r="C570" s="7" t="s">
        <v>117</v>
      </c>
      <c r="D570" s="24" t="str">
        <f aca="false">VLOOKUP(SALIDAS[[Código Producto ]],PRODUCTOS[],2,0)</f>
        <v>Tocino Ahumado Redondo  x 200g (ROJO)</v>
      </c>
      <c r="E570" s="24" t="n">
        <v>1</v>
      </c>
      <c r="F570" s="0" t="n">
        <f aca="false">SALIDAS[[#This Row],[Cantidad ]]*0.2</f>
        <v>0.2</v>
      </c>
    </row>
    <row r="571" customFormat="false" ht="15.75" hidden="true" customHeight="false" outlineLevel="0" collapsed="false">
      <c r="A571" s="24" t="s">
        <v>225</v>
      </c>
      <c r="B571" s="23" t="n">
        <v>44070</v>
      </c>
      <c r="C571" s="7" t="s">
        <v>97</v>
      </c>
      <c r="D571" s="24" t="str">
        <f aca="false">VLOOKUP(SALIDAS[[Código Producto ]],PRODUCTOS[],2,0)</f>
        <v>Morcilla Granel x3</v>
      </c>
      <c r="E571" s="24" t="n">
        <v>1</v>
      </c>
      <c r="F571" s="0" t="n">
        <f aca="false">SALIDAS[[#This Row],[Cantidad ]]*0.24</f>
        <v>0.24</v>
      </c>
    </row>
    <row r="572" customFormat="false" ht="15.75" hidden="true" customHeight="false" outlineLevel="0" collapsed="false">
      <c r="A572" s="24" t="s">
        <v>225</v>
      </c>
      <c r="B572" s="23" t="n">
        <v>44070</v>
      </c>
      <c r="C572" s="7" t="s">
        <v>95</v>
      </c>
      <c r="D572" s="24" t="str">
        <f aca="false">VLOOKUP(SALIDAS[[Código Producto ]],PRODUCTOS[],2,0)</f>
        <v>Morcilla Cocktail x10</v>
      </c>
      <c r="E572" s="24" t="n">
        <v>1</v>
      </c>
      <c r="F572" s="0" t="n">
        <f aca="false">SALIDAS[[#This Row],[Cantidad ]]*0.25</f>
        <v>0.25</v>
      </c>
    </row>
    <row r="573" customFormat="false" ht="15.75" hidden="true" customHeight="false" outlineLevel="0" collapsed="false">
      <c r="A573" s="24" t="s">
        <v>225</v>
      </c>
      <c r="B573" s="23" t="n">
        <v>44070</v>
      </c>
      <c r="C573" s="7" t="s">
        <v>125</v>
      </c>
      <c r="D573" s="24" t="str">
        <f aca="false">VLOOKUP(SALIDAS[[Código Producto ]],PRODUCTOS[],2,0)</f>
        <v>Vienesa x 5 unidades X 250g</v>
      </c>
      <c r="E573" s="24" t="n">
        <v>1</v>
      </c>
      <c r="F573" s="0" t="n">
        <f aca="false">SALIDAS[[#This Row],[Cantidad ]]*0.25</f>
        <v>0.25</v>
      </c>
    </row>
    <row r="574" customFormat="false" ht="15.75" hidden="true" customHeight="false" outlineLevel="0" collapsed="false">
      <c r="A574" s="24" t="s">
        <v>225</v>
      </c>
      <c r="B574" s="23" t="n">
        <v>44070</v>
      </c>
      <c r="C574" s="7" t="s">
        <v>131</v>
      </c>
      <c r="D574" s="24" t="str">
        <f aca="false">VLOOKUP(SALIDAS[[Código Producto ]],PRODUCTOS[],2,0)</f>
        <v>Jamon tata x 250 gr</v>
      </c>
      <c r="E574" s="24" t="n">
        <v>1</v>
      </c>
      <c r="F574" s="0" t="n">
        <f aca="false">SALIDAS[[#This Row],[Cantidad ]]*0.25</f>
        <v>0.25</v>
      </c>
    </row>
    <row r="575" customFormat="false" ht="15.75" hidden="true" customHeight="false" outlineLevel="0" collapsed="false">
      <c r="A575" s="24" t="s">
        <v>225</v>
      </c>
      <c r="B575" s="23" t="n">
        <v>44070</v>
      </c>
      <c r="C575" s="7" t="s">
        <v>135</v>
      </c>
      <c r="D575" s="24" t="str">
        <f aca="false">VLOOKUP(SALIDAS[[Código Producto ]],PRODUCTOS[],2,0)</f>
        <v>Jamon tata a las finas hierbas x 250 g</v>
      </c>
      <c r="E575" s="24" t="n">
        <v>1</v>
      </c>
      <c r="F575" s="17" t="n">
        <f aca="false">SALIDAS[[#This Row],[Cantidad ]]*0.25</f>
        <v>0.25</v>
      </c>
    </row>
    <row r="576" customFormat="false" ht="15.75" hidden="true" customHeight="false" outlineLevel="0" collapsed="false">
      <c r="A576" s="24" t="s">
        <v>225</v>
      </c>
      <c r="B576" s="23" t="n">
        <v>44070</v>
      </c>
      <c r="C576" s="7" t="s">
        <v>139</v>
      </c>
      <c r="D576" s="24" t="str">
        <f aca="false">VLOOKUP(SALIDAS[[Código Producto ]],PRODUCTOS[],2,0)</f>
        <v>Jamon La nonna x 250g</v>
      </c>
      <c r="E576" s="24" t="n">
        <v>1</v>
      </c>
      <c r="F576" s="17" t="n">
        <f aca="false">SALIDAS[[#This Row],[Cantidad ]]*0.25</f>
        <v>0.25</v>
      </c>
    </row>
    <row r="577" customFormat="false" ht="15.75" hidden="true" customHeight="false" outlineLevel="0" collapsed="false">
      <c r="A577" s="24" t="s">
        <v>226</v>
      </c>
      <c r="B577" s="23" t="n">
        <v>44070</v>
      </c>
      <c r="C577" s="7" t="s">
        <v>28</v>
      </c>
      <c r="D577" s="24" t="str">
        <f aca="false">VLOOKUP(SALIDAS[[Código Producto ]],PRODUCTOS[],2,0)</f>
        <v>Chorizo Oxford x 4 unidades 400g</v>
      </c>
      <c r="E577" s="24" t="n">
        <v>1</v>
      </c>
      <c r="F577" s="0" t="n">
        <f aca="false">SALIDAS[[#This Row],[Cantidad ]]*0.4</f>
        <v>0.4</v>
      </c>
    </row>
    <row r="578" customFormat="false" ht="15.75" hidden="true" customHeight="false" outlineLevel="0" collapsed="false">
      <c r="A578" s="24" t="s">
        <v>226</v>
      </c>
      <c r="B578" s="23" t="n">
        <v>44070</v>
      </c>
      <c r="C578" s="7" t="s">
        <v>26</v>
      </c>
      <c r="D578" s="24" t="str">
        <f aca="false">VLOOKUP(SALIDAS[[Código Producto ]],PRODUCTOS[],2,0)</f>
        <v>Chorizo Oxford x 10 unidades 250g</v>
      </c>
      <c r="E578" s="24" t="n">
        <v>1</v>
      </c>
      <c r="F578" s="0" t="n">
        <f aca="false">SALIDAS[[#This Row],[Cantidad ]]*0.25</f>
        <v>0.25</v>
      </c>
    </row>
    <row r="579" customFormat="false" ht="15.75" hidden="true" customHeight="false" outlineLevel="0" collapsed="false">
      <c r="A579" s="24" t="s">
        <v>226</v>
      </c>
      <c r="B579" s="23" t="n">
        <v>44070</v>
      </c>
      <c r="C579" s="7" t="s">
        <v>20</v>
      </c>
      <c r="D579" s="24" t="str">
        <f aca="false">VLOOKUP(SALIDAS[[Código Producto ]],PRODUCTOS[],2,0)</f>
        <v>Chorizo finas hierbas x 4 unidades 400g</v>
      </c>
      <c r="E579" s="24" t="n">
        <v>1</v>
      </c>
      <c r="F579" s="0" t="n">
        <f aca="false">SALIDAS[[#This Row],[Cantidad ]]*0.4</f>
        <v>0.4</v>
      </c>
    </row>
    <row r="580" customFormat="false" ht="15.75" hidden="true" customHeight="false" outlineLevel="0" collapsed="false">
      <c r="A580" s="24" t="s">
        <v>226</v>
      </c>
      <c r="B580" s="23" t="n">
        <v>44070</v>
      </c>
      <c r="C580" s="7" t="s">
        <v>18</v>
      </c>
      <c r="D580" s="24" t="str">
        <f aca="false">VLOOKUP(SALIDAS[[Código Producto ]],PRODUCTOS[],2,0)</f>
        <v>Chorizo finas hierbas x 10 unidades 250g</v>
      </c>
      <c r="E580" s="24" t="n">
        <v>1</v>
      </c>
      <c r="F580" s="0" t="n">
        <f aca="false">SALIDAS[[#This Row],[Cantidad ]]*0.25</f>
        <v>0.25</v>
      </c>
    </row>
    <row r="581" customFormat="false" ht="15.75" hidden="true" customHeight="false" outlineLevel="0" collapsed="false">
      <c r="A581" s="24" t="s">
        <v>226</v>
      </c>
      <c r="B581" s="23" t="n">
        <v>44070</v>
      </c>
      <c r="C581" s="7" t="s">
        <v>32</v>
      </c>
      <c r="D581" s="24" t="str">
        <f aca="false">VLOOKUP(SALIDAS[[Código Producto ]],PRODUCTOS[],2,0)</f>
        <v>Chorizo Sweet Spicy 400g</v>
      </c>
      <c r="E581" s="24" t="n">
        <v>1</v>
      </c>
      <c r="F581" s="0" t="n">
        <f aca="false">SALIDAS[[#This Row],[Cantidad ]]*0.4</f>
        <v>0.4</v>
      </c>
    </row>
    <row r="582" customFormat="false" ht="15.75" hidden="true" customHeight="false" outlineLevel="0" collapsed="false">
      <c r="A582" s="24" t="s">
        <v>226</v>
      </c>
      <c r="B582" s="23" t="n">
        <v>44070</v>
      </c>
      <c r="C582" s="7" t="s">
        <v>49</v>
      </c>
      <c r="D582" s="24" t="str">
        <f aca="false">VLOOKUP(SALIDAS[[Código Producto ]],PRODUCTOS[],2,0)</f>
        <v>Frankfurter municipal x 3 unidades </v>
      </c>
      <c r="E582" s="24" t="n">
        <v>1</v>
      </c>
      <c r="F582" s="0" t="n">
        <f aca="false">SALIDAS[[#This Row],[Cantidad ]]*0.45</f>
        <v>0.45</v>
      </c>
    </row>
    <row r="583" customFormat="false" ht="15.75" hidden="true" customHeight="false" outlineLevel="0" collapsed="false">
      <c r="A583" s="24" t="s">
        <v>226</v>
      </c>
      <c r="B583" s="23" t="n">
        <v>44070</v>
      </c>
      <c r="C583" s="7" t="s">
        <v>47</v>
      </c>
      <c r="D583" s="24" t="str">
        <f aca="false">VLOOKUP(SALIDAS[[Código Producto ]],PRODUCTOS[],2,0)</f>
        <v>Frankfurter granel x 4 unidades 250g</v>
      </c>
      <c r="E583" s="24" t="n">
        <v>1</v>
      </c>
      <c r="F583" s="0" t="n">
        <f aca="false">SALIDAS[[#This Row],[Cantidad ]]*0.25</f>
        <v>0.25</v>
      </c>
    </row>
    <row r="584" customFormat="false" ht="15.75" hidden="true" customHeight="false" outlineLevel="0" collapsed="false">
      <c r="A584" s="24" t="s">
        <v>226</v>
      </c>
      <c r="B584" s="23" t="n">
        <v>44070</v>
      </c>
      <c r="C584" s="7" t="s">
        <v>41</v>
      </c>
      <c r="D584" s="24" t="str">
        <f aca="false">VLOOKUP(SALIDAS[[Código Producto ]],PRODUCTOS[],2,0)</f>
        <v>Frankfurter cocktail x 10 unidades x 250g</v>
      </c>
      <c r="E584" s="24" t="n">
        <v>1</v>
      </c>
      <c r="F584" s="0" t="n">
        <f aca="false">SALIDAS[[#This Row],[Cantidad ]]*0.25</f>
        <v>0.25</v>
      </c>
    </row>
    <row r="585" customFormat="false" ht="15.75" hidden="true" customHeight="false" outlineLevel="0" collapsed="false">
      <c r="A585" s="24" t="s">
        <v>226</v>
      </c>
      <c r="B585" s="23" t="n">
        <v>44070</v>
      </c>
      <c r="C585" s="7" t="s">
        <v>8</v>
      </c>
      <c r="D585" s="24" t="str">
        <f aca="false">VLOOKUP(SALIDAS[[Código Producto ]],PRODUCTOS[],2,0)</f>
        <v>Bratwurst x 4 unidades 320g </v>
      </c>
      <c r="E585" s="24" t="n">
        <v>1</v>
      </c>
      <c r="F585" s="0" t="n">
        <f aca="false">SALIDAS[[#This Row],[Cantidad ]]*0.32</f>
        <v>0.32</v>
      </c>
    </row>
    <row r="586" customFormat="false" ht="15.75" hidden="true" customHeight="false" outlineLevel="0" collapsed="false">
      <c r="A586" s="24" t="s">
        <v>226</v>
      </c>
      <c r="B586" s="23" t="n">
        <v>44070</v>
      </c>
      <c r="C586" s="7" t="s">
        <v>14</v>
      </c>
      <c r="D586" s="24" t="str">
        <f aca="false">VLOOKUP(SALIDAS[[Código Producto ]],PRODUCTOS[],2,0)</f>
        <v>Chistorra Huachana x 6 unidades 150g</v>
      </c>
      <c r="E586" s="24" t="n">
        <v>1</v>
      </c>
      <c r="F586" s="0" t="n">
        <f aca="false">SALIDAS[[#This Row],[Cantidad ]]*0.15</f>
        <v>0.15</v>
      </c>
    </row>
    <row r="587" customFormat="false" ht="15.75" hidden="true" customHeight="false" outlineLevel="0" collapsed="false">
      <c r="A587" s="24" t="s">
        <v>226</v>
      </c>
      <c r="B587" s="23" t="n">
        <v>44070</v>
      </c>
      <c r="C587" s="7" t="s">
        <v>93</v>
      </c>
      <c r="D587" s="24" t="str">
        <f aca="false">VLOOKUP(SALIDAS[[Código Producto ]],PRODUCTOS[],2,0)</f>
        <v>Longaniza Huachana x 350g</v>
      </c>
      <c r="E587" s="24" t="n">
        <v>1</v>
      </c>
      <c r="F587" s="0" t="n">
        <f aca="false">SALIDAS[[#This Row],[Cantidad ]]*0.34</f>
        <v>0.34</v>
      </c>
    </row>
    <row r="588" customFormat="false" ht="15.75" hidden="true" customHeight="false" outlineLevel="0" collapsed="false">
      <c r="A588" s="24" t="s">
        <v>226</v>
      </c>
      <c r="B588" s="23" t="n">
        <v>44070</v>
      </c>
      <c r="C588" s="7" t="s">
        <v>77</v>
      </c>
      <c r="D588" s="24" t="str">
        <f aca="false">VLOOKUP(SALIDAS[[Código Producto ]],PRODUCTOS[],2,0)</f>
        <v>Jamon Ingles x 300g </v>
      </c>
      <c r="E588" s="24" t="n">
        <v>1</v>
      </c>
      <c r="F588" s="0" t="n">
        <f aca="false">SALIDAS[[#This Row],[Cantidad ]]*0.3</f>
        <v>0.3</v>
      </c>
    </row>
    <row r="589" customFormat="false" ht="15.75" hidden="true" customHeight="false" outlineLevel="0" collapsed="false">
      <c r="A589" s="24" t="s">
        <v>226</v>
      </c>
      <c r="B589" s="23" t="n">
        <v>44070</v>
      </c>
      <c r="C589" s="7" t="s">
        <v>81</v>
      </c>
      <c r="D589" s="24" t="str">
        <f aca="false">VLOOKUP(SALIDAS[[Código Producto ]],PRODUCTOS[],2,0)</f>
        <v>Jamon pizza x 250g</v>
      </c>
      <c r="E589" s="24" t="n">
        <v>1</v>
      </c>
      <c r="F589" s="0" t="n">
        <f aca="false">SALIDAS[[#This Row],[Cantidad ]]*0.25</f>
        <v>0.25</v>
      </c>
    </row>
    <row r="590" customFormat="false" ht="15.75" hidden="true" customHeight="false" outlineLevel="0" collapsed="false">
      <c r="A590" s="24" t="s">
        <v>226</v>
      </c>
      <c r="B590" s="23" t="n">
        <v>44070</v>
      </c>
      <c r="C590" s="7" t="s">
        <v>69</v>
      </c>
      <c r="D590" s="24" t="str">
        <f aca="false">VLOOKUP(SALIDAS[[Código Producto ]],PRODUCTOS[],2,0)</f>
        <v>Jamon del país artesanal 250g</v>
      </c>
      <c r="E590" s="24" t="n">
        <v>1</v>
      </c>
      <c r="F590" s="0" t="n">
        <f aca="false">SALIDAS[[#This Row],[Cantidad ]]*0.25</f>
        <v>0.25</v>
      </c>
    </row>
    <row r="591" customFormat="false" ht="15.75" hidden="true" customHeight="false" outlineLevel="0" collapsed="false">
      <c r="A591" s="24" t="s">
        <v>226</v>
      </c>
      <c r="B591" s="23" t="n">
        <v>44070</v>
      </c>
      <c r="C591" s="7" t="s">
        <v>111</v>
      </c>
      <c r="D591" s="24" t="str">
        <f aca="false">VLOOKUP(SALIDAS[[Código Producto ]],PRODUCTOS[],2,0)</f>
        <v>Tocino Ahumado Natural x250g</v>
      </c>
      <c r="E591" s="24" t="n">
        <v>1</v>
      </c>
      <c r="F591" s="0" t="n">
        <f aca="false">SALIDAS[[#This Row],[Cantidad ]]*0.25</f>
        <v>0.25</v>
      </c>
    </row>
    <row r="592" customFormat="false" ht="15.75" hidden="true" customHeight="false" outlineLevel="0" collapsed="false">
      <c r="A592" s="24" t="s">
        <v>226</v>
      </c>
      <c r="B592" s="23" t="n">
        <v>44070</v>
      </c>
      <c r="C592" s="7" t="s">
        <v>117</v>
      </c>
      <c r="D592" s="24" t="str">
        <f aca="false">VLOOKUP(SALIDAS[[Código Producto ]],PRODUCTOS[],2,0)</f>
        <v>Tocino Ahumado Redondo  x 200g (ROJO)</v>
      </c>
      <c r="E592" s="24" t="n">
        <v>1</v>
      </c>
      <c r="F592" s="0" t="n">
        <f aca="false">SALIDAS[[#This Row],[Cantidad ]]*0.2</f>
        <v>0.2</v>
      </c>
    </row>
    <row r="593" customFormat="false" ht="15.75" hidden="true" customHeight="false" outlineLevel="0" collapsed="false">
      <c r="A593" s="24" t="s">
        <v>226</v>
      </c>
      <c r="B593" s="23" t="n">
        <v>44070</v>
      </c>
      <c r="C593" s="7" t="s">
        <v>97</v>
      </c>
      <c r="D593" s="24" t="str">
        <f aca="false">VLOOKUP(SALIDAS[[Código Producto ]],PRODUCTOS[],2,0)</f>
        <v>Morcilla Granel x3</v>
      </c>
      <c r="E593" s="24" t="n">
        <v>1</v>
      </c>
      <c r="F593" s="0" t="n">
        <f aca="false">SALIDAS[[#This Row],[Cantidad ]]*0.24</f>
        <v>0.24</v>
      </c>
    </row>
    <row r="594" customFormat="false" ht="15.75" hidden="true" customHeight="false" outlineLevel="0" collapsed="false">
      <c r="A594" s="24" t="s">
        <v>226</v>
      </c>
      <c r="B594" s="23" t="n">
        <v>44070</v>
      </c>
      <c r="C594" s="7" t="s">
        <v>95</v>
      </c>
      <c r="D594" s="24" t="str">
        <f aca="false">VLOOKUP(SALIDAS[[Código Producto ]],PRODUCTOS[],2,0)</f>
        <v>Morcilla Cocktail x10</v>
      </c>
      <c r="E594" s="24" t="n">
        <v>1</v>
      </c>
      <c r="F594" s="0" t="n">
        <f aca="false">SALIDAS[[#This Row],[Cantidad ]]*0.25</f>
        <v>0.25</v>
      </c>
    </row>
    <row r="595" customFormat="false" ht="15.75" hidden="true" customHeight="false" outlineLevel="0" collapsed="false">
      <c r="A595" s="24" t="s">
        <v>226</v>
      </c>
      <c r="B595" s="23" t="n">
        <v>44070</v>
      </c>
      <c r="C595" s="7" t="s">
        <v>125</v>
      </c>
      <c r="D595" s="24" t="str">
        <f aca="false">VLOOKUP(SALIDAS[[Código Producto ]],PRODUCTOS[],2,0)</f>
        <v>Vienesa x 5 unidades X 250g</v>
      </c>
      <c r="E595" s="24" t="n">
        <v>1</v>
      </c>
      <c r="F595" s="0" t="n">
        <f aca="false">SALIDAS[[#This Row],[Cantidad ]]*0.25</f>
        <v>0.25</v>
      </c>
    </row>
    <row r="596" customFormat="false" ht="15.75" hidden="true" customHeight="false" outlineLevel="0" collapsed="false">
      <c r="A596" s="24" t="s">
        <v>226</v>
      </c>
      <c r="B596" s="23" t="n">
        <v>44070</v>
      </c>
      <c r="C596" s="7" t="s">
        <v>131</v>
      </c>
      <c r="D596" s="24" t="str">
        <f aca="false">VLOOKUP(SALIDAS[[Código Producto ]],PRODUCTOS[],2,0)</f>
        <v>Jamon tata x 250 gr</v>
      </c>
      <c r="E596" s="24" t="n">
        <v>1</v>
      </c>
      <c r="F596" s="0" t="n">
        <f aca="false">SALIDAS[[#This Row],[Cantidad ]]*0.25</f>
        <v>0.25</v>
      </c>
    </row>
    <row r="597" customFormat="false" ht="15.75" hidden="true" customHeight="false" outlineLevel="0" collapsed="false">
      <c r="A597" s="24" t="s">
        <v>226</v>
      </c>
      <c r="B597" s="23" t="n">
        <v>44070</v>
      </c>
      <c r="C597" s="7" t="s">
        <v>135</v>
      </c>
      <c r="D597" s="24" t="str">
        <f aca="false">VLOOKUP(SALIDAS[[Código Producto ]],PRODUCTOS[],2,0)</f>
        <v>Jamon tata a las finas hierbas x 250 g</v>
      </c>
      <c r="E597" s="24" t="n">
        <v>1</v>
      </c>
      <c r="F597" s="17" t="n">
        <f aca="false">SALIDAS[[#This Row],[Cantidad ]]*0.25</f>
        <v>0.25</v>
      </c>
    </row>
    <row r="598" customFormat="false" ht="15.75" hidden="true" customHeight="false" outlineLevel="0" collapsed="false">
      <c r="A598" s="24" t="s">
        <v>226</v>
      </c>
      <c r="B598" s="23" t="n">
        <v>44070</v>
      </c>
      <c r="C598" s="7" t="s">
        <v>139</v>
      </c>
      <c r="D598" s="24" t="str">
        <f aca="false">VLOOKUP(SALIDAS[[Código Producto ]],PRODUCTOS[],2,0)</f>
        <v>Jamon La nonna x 250g</v>
      </c>
      <c r="E598" s="24" t="n">
        <v>1</v>
      </c>
      <c r="F598" s="17" t="n">
        <f aca="false">SALIDAS[[#This Row],[Cantidad ]]*0.25</f>
        <v>0.25</v>
      </c>
    </row>
    <row r="599" customFormat="false" ht="15.75" hidden="false" customHeight="false" outlineLevel="0" collapsed="false">
      <c r="A599" s="24" t="s">
        <v>227</v>
      </c>
      <c r="B599" s="23" t="n">
        <v>44070</v>
      </c>
      <c r="C599" s="7" t="s">
        <v>83</v>
      </c>
      <c r="D599" s="24" t="str">
        <f aca="false">VLOOKUP(SALIDAS[[Código Producto ]],PRODUCTOS[],2,0)</f>
        <v>Jamon Pizza x 500g</v>
      </c>
      <c r="E599" s="24" t="n">
        <v>8</v>
      </c>
      <c r="F599" s="17" t="n">
        <f aca="false">SALIDAS[[#This Row],[Cantidad ]]*0.5</f>
        <v>4</v>
      </c>
    </row>
    <row r="600" customFormat="false" ht="15" hidden="true" customHeight="false" outlineLevel="0" collapsed="false">
      <c r="A600" s="24" t="s">
        <v>225</v>
      </c>
      <c r="B600" s="23" t="n">
        <v>44070</v>
      </c>
      <c r="C600" s="24" t="s">
        <v>143</v>
      </c>
      <c r="D600" s="24" t="str">
        <f aca="false">VLOOKUP(SALIDAS[[Código Producto ]],PRODUCTOS[],2,0)</f>
        <v>Jamon la nonna entero</v>
      </c>
      <c r="E600" s="24" t="n">
        <v>5.73</v>
      </c>
      <c r="F600" s="17" t="n">
        <f aca="false">SALIDAS[[#This Row],[Cantidad ]]</f>
        <v>5.73</v>
      </c>
    </row>
    <row r="601" customFormat="false" ht="15.75" hidden="true" customHeight="false" outlineLevel="0" collapsed="false">
      <c r="A601" s="24" t="s">
        <v>225</v>
      </c>
      <c r="B601" s="23" t="n">
        <v>44070</v>
      </c>
      <c r="C601" s="7" t="s">
        <v>43</v>
      </c>
      <c r="D601" s="24" t="str">
        <f aca="false">VLOOKUP(SALIDAS[[Código Producto ]],PRODUCTOS[],2,0)</f>
        <v>Frankfurter Gastronomico x 2Kg</v>
      </c>
      <c r="E601" s="24" t="n">
        <v>1</v>
      </c>
      <c r="F601" s="0" t="n">
        <f aca="false">SALIDAS[[#This Row],[Cantidad ]]*2</f>
        <v>2</v>
      </c>
    </row>
    <row r="602" customFormat="false" ht="15.75" hidden="false" customHeight="false" outlineLevel="0" collapsed="false">
      <c r="A602" s="24" t="s">
        <v>228</v>
      </c>
      <c r="B602" s="23" t="n">
        <v>44071</v>
      </c>
      <c r="C602" s="7" t="s">
        <v>28</v>
      </c>
      <c r="D602" s="24" t="str">
        <f aca="false">VLOOKUP(SALIDAS[[Código Producto ]],PRODUCTOS[],2,0)</f>
        <v>Chorizo Oxford x 4 unidades 400g</v>
      </c>
      <c r="E602" s="24" t="n">
        <v>4</v>
      </c>
      <c r="F602" s="0" t="n">
        <f aca="false">SALIDAS[[#This Row],[Cantidad ]]*0.4</f>
        <v>1.6</v>
      </c>
    </row>
    <row r="603" customFormat="false" ht="15.75" hidden="false" customHeight="false" outlineLevel="0" collapsed="false">
      <c r="A603" s="24" t="s">
        <v>228</v>
      </c>
      <c r="B603" s="23" t="n">
        <v>44071</v>
      </c>
      <c r="C603" s="7" t="s">
        <v>83</v>
      </c>
      <c r="D603" s="24" t="str">
        <f aca="false">VLOOKUP(SALIDAS[[Código Producto ]],PRODUCTOS[],2,0)</f>
        <v>Jamon Pizza x 500g</v>
      </c>
      <c r="E603" s="24" t="n">
        <v>2</v>
      </c>
      <c r="F603" s="0" t="n">
        <f aca="false">SALIDAS[[#This Row],[Cantidad ]]*0.5</f>
        <v>1</v>
      </c>
    </row>
    <row r="604" customFormat="false" ht="15.75" hidden="false" customHeight="false" outlineLevel="0" collapsed="false">
      <c r="A604" s="24" t="s">
        <v>228</v>
      </c>
      <c r="B604" s="23" t="n">
        <v>44071</v>
      </c>
      <c r="C604" s="7" t="s">
        <v>77</v>
      </c>
      <c r="D604" s="24" t="str">
        <f aca="false">VLOOKUP(SALIDAS[[Código Producto ]],PRODUCTOS[],2,0)</f>
        <v>Jamon Ingles x 300g </v>
      </c>
      <c r="E604" s="24" t="n">
        <v>2</v>
      </c>
      <c r="F604" s="0" t="n">
        <f aca="false">SALIDAS[[#This Row],[Cantidad ]]*0.3</f>
        <v>0.6</v>
      </c>
    </row>
    <row r="605" customFormat="false" ht="15.75" hidden="false" customHeight="false" outlineLevel="0" collapsed="false">
      <c r="A605" s="24" t="s">
        <v>228</v>
      </c>
      <c r="B605" s="23" t="n">
        <v>44071</v>
      </c>
      <c r="C605" s="7" t="s">
        <v>81</v>
      </c>
      <c r="D605" s="24" t="str">
        <f aca="false">VLOOKUP(SALIDAS[[Código Producto ]],PRODUCTOS[],2,0)</f>
        <v>Jamon pizza x 250g</v>
      </c>
      <c r="E605" s="24" t="n">
        <v>2</v>
      </c>
      <c r="F605" s="0" t="n">
        <f aca="false">SALIDAS[[#This Row],[Cantidad ]]*0.25</f>
        <v>0.5</v>
      </c>
    </row>
    <row r="606" customFormat="false" ht="15.75" hidden="false" customHeight="false" outlineLevel="0" collapsed="false">
      <c r="A606" s="24" t="s">
        <v>229</v>
      </c>
      <c r="B606" s="23" t="n">
        <v>44071</v>
      </c>
      <c r="C606" s="7" t="s">
        <v>47</v>
      </c>
      <c r="D606" s="24" t="str">
        <f aca="false">VLOOKUP(SALIDAS[[Código Producto ]],PRODUCTOS[],2,0)</f>
        <v>Frankfurter granel x 4 unidades 250g</v>
      </c>
      <c r="E606" s="24" t="n">
        <v>8</v>
      </c>
      <c r="F606" s="0" t="n">
        <f aca="false">SALIDAS[[#This Row],[Cantidad ]]*0.24</f>
        <v>1.92</v>
      </c>
    </row>
    <row r="607" customFormat="false" ht="15.75" hidden="false" customHeight="false" outlineLevel="0" collapsed="false">
      <c r="A607" s="24" t="s">
        <v>229</v>
      </c>
      <c r="B607" s="23" t="n">
        <v>44071</v>
      </c>
      <c r="C607" s="7" t="s">
        <v>14</v>
      </c>
      <c r="D607" s="24" t="str">
        <f aca="false">VLOOKUP(SALIDAS[[Código Producto ]],PRODUCTOS[],2,0)</f>
        <v>Chistorra Huachana x 6 unidades 150g</v>
      </c>
      <c r="E607" s="24" t="n">
        <v>6</v>
      </c>
      <c r="F607" s="0" t="n">
        <f aca="false">SALIDAS[[#This Row],[Cantidad ]]*0.15</f>
        <v>0.9</v>
      </c>
    </row>
    <row r="608" customFormat="false" ht="15.75" hidden="false" customHeight="false" outlineLevel="0" collapsed="false">
      <c r="A608" s="24" t="s">
        <v>229</v>
      </c>
      <c r="B608" s="23" t="n">
        <v>44071</v>
      </c>
      <c r="C608" s="7" t="s">
        <v>97</v>
      </c>
      <c r="D608" s="24" t="str">
        <f aca="false">VLOOKUP(SALIDAS[[Código Producto ]],PRODUCTOS[],2,0)</f>
        <v>Morcilla Granel x3</v>
      </c>
      <c r="E608" s="24" t="n">
        <v>6</v>
      </c>
      <c r="F608" s="0" t="n">
        <f aca="false">SALIDAS[[#This Row],[Cantidad ]]*0.24</f>
        <v>1.44</v>
      </c>
    </row>
    <row r="609" customFormat="false" ht="15.75" hidden="false" customHeight="false" outlineLevel="0" collapsed="false">
      <c r="A609" s="24" t="s">
        <v>229</v>
      </c>
      <c r="B609" s="23" t="n">
        <v>44071</v>
      </c>
      <c r="C609" s="7" t="s">
        <v>117</v>
      </c>
      <c r="D609" s="24" t="str">
        <f aca="false">VLOOKUP(SALIDAS[[Código Producto ]],PRODUCTOS[],2,0)</f>
        <v>Tocino Ahumado Redondo  x 200g (ROJO)</v>
      </c>
      <c r="E609" s="24" t="n">
        <v>6</v>
      </c>
      <c r="F609" s="0" t="n">
        <f aca="false">SALIDAS[[#This Row],[Cantidad ]]*0.2</f>
        <v>1.2</v>
      </c>
    </row>
    <row r="610" customFormat="false" ht="15.75" hidden="false" customHeight="false" outlineLevel="0" collapsed="false">
      <c r="A610" s="24" t="s">
        <v>182</v>
      </c>
      <c r="B610" s="23" t="n">
        <v>44071</v>
      </c>
      <c r="C610" s="7" t="s">
        <v>8</v>
      </c>
      <c r="D610" s="24" t="str">
        <f aca="false">VLOOKUP(SALIDAS[[Código Producto ]],PRODUCTOS[],2,0)</f>
        <v>Bratwurst x 4 unidades 320g </v>
      </c>
      <c r="E610" s="24" t="n">
        <v>3</v>
      </c>
      <c r="F610" s="0" t="n">
        <f aca="false">SALIDAS[[#This Row],[Cantidad ]]*0.32</f>
        <v>0.96</v>
      </c>
    </row>
    <row r="611" customFormat="false" ht="15.75" hidden="false" customHeight="false" outlineLevel="0" collapsed="false">
      <c r="A611" s="24" t="s">
        <v>182</v>
      </c>
      <c r="B611" s="23" t="n">
        <v>44071</v>
      </c>
      <c r="C611" s="7" t="s">
        <v>47</v>
      </c>
      <c r="D611" s="24" t="str">
        <f aca="false">VLOOKUP(SALIDAS[[Código Producto ]],PRODUCTOS[],2,0)</f>
        <v>Frankfurter granel x 4 unidades 250g</v>
      </c>
      <c r="E611" s="24" t="n">
        <v>2</v>
      </c>
      <c r="F611" s="0" t="n">
        <f aca="false">SALIDAS[[#This Row],[Cantidad ]]*0.24</f>
        <v>0.48</v>
      </c>
    </row>
    <row r="612" customFormat="false" ht="15.75" hidden="false" customHeight="false" outlineLevel="0" collapsed="false">
      <c r="A612" s="24" t="s">
        <v>182</v>
      </c>
      <c r="B612" s="23" t="n">
        <v>44071</v>
      </c>
      <c r="C612" s="7" t="s">
        <v>14</v>
      </c>
      <c r="D612" s="24" t="str">
        <f aca="false">VLOOKUP(SALIDAS[[Código Producto ]],PRODUCTOS[],2,0)</f>
        <v>Chistorra Huachana x 6 unidades 150g</v>
      </c>
      <c r="E612" s="24" t="n">
        <v>1</v>
      </c>
      <c r="F612" s="0" t="n">
        <f aca="false">SALIDAS[[#This Row],[Cantidad ]]*0.15</f>
        <v>0.15</v>
      </c>
    </row>
    <row r="613" customFormat="false" ht="15.75" hidden="false" customHeight="false" outlineLevel="0" collapsed="false">
      <c r="A613" s="24" t="s">
        <v>182</v>
      </c>
      <c r="B613" s="23" t="n">
        <v>44071</v>
      </c>
      <c r="C613" s="7" t="s">
        <v>125</v>
      </c>
      <c r="D613" s="24" t="str">
        <f aca="false">VLOOKUP(SALIDAS[[Código Producto ]],PRODUCTOS[],2,0)</f>
        <v>Vienesa x 5 unidades X 250g</v>
      </c>
      <c r="E613" s="24" t="n">
        <v>6</v>
      </c>
      <c r="F613" s="0" t="n">
        <f aca="false">SALIDAS[[#This Row],[Cantidad ]]*0.25</f>
        <v>1.5</v>
      </c>
    </row>
    <row r="614" customFormat="false" ht="15.75" hidden="false" customHeight="false" outlineLevel="0" collapsed="false">
      <c r="A614" s="24" t="s">
        <v>182</v>
      </c>
      <c r="B614" s="23" t="n">
        <v>44071</v>
      </c>
      <c r="C614" s="7" t="s">
        <v>43</v>
      </c>
      <c r="D614" s="24" t="str">
        <f aca="false">VLOOKUP(SALIDAS[[Código Producto ]],PRODUCTOS[],2,0)</f>
        <v>Frankfurter Gastronomico x 2Kg</v>
      </c>
      <c r="E614" s="24" t="n">
        <v>0.5</v>
      </c>
      <c r="F614" s="0" t="n">
        <f aca="false">SALIDAS[[#This Row],[Cantidad ]]*2</f>
        <v>1</v>
      </c>
    </row>
    <row r="615" customFormat="false" ht="15.75" hidden="false" customHeight="false" outlineLevel="0" collapsed="false">
      <c r="A615" s="24" t="s">
        <v>213</v>
      </c>
      <c r="B615" s="23" t="n">
        <v>44071</v>
      </c>
      <c r="C615" s="7" t="s">
        <v>47</v>
      </c>
      <c r="D615" s="24" t="str">
        <f aca="false">VLOOKUP(SALIDAS[[Código Producto ]],PRODUCTOS[],2,0)</f>
        <v>Frankfurter granel x 4 unidades 250g</v>
      </c>
      <c r="E615" s="24" t="n">
        <v>2</v>
      </c>
      <c r="F615" s="0" t="n">
        <f aca="false">SALIDAS[[#This Row],[Cantidad ]]*0.24</f>
        <v>0.48</v>
      </c>
    </row>
    <row r="616" customFormat="false" ht="15.75" hidden="false" customHeight="false" outlineLevel="0" collapsed="false">
      <c r="A616" s="24" t="s">
        <v>213</v>
      </c>
      <c r="B616" s="23" t="n">
        <v>44071</v>
      </c>
      <c r="C616" s="7" t="s">
        <v>22</v>
      </c>
      <c r="D616" s="24" t="str">
        <f aca="false">VLOOKUP(SALIDAS[[Código Producto ]],PRODUCTOS[],2,0)</f>
        <v>Chorizo finas hierbas x 6 unidades 600g</v>
      </c>
      <c r="E616" s="24" t="n">
        <v>1</v>
      </c>
      <c r="F616" s="0" t="n">
        <f aca="false">SALIDAS[[#This Row],[Cantidad ]]*0.6</f>
        <v>0.6</v>
      </c>
    </row>
    <row r="617" customFormat="false" ht="15.75" hidden="false" customHeight="false" outlineLevel="0" collapsed="false">
      <c r="A617" s="24" t="s">
        <v>230</v>
      </c>
      <c r="B617" s="23" t="n">
        <v>44071</v>
      </c>
      <c r="C617" s="7" t="s">
        <v>24</v>
      </c>
      <c r="D617" s="24" t="str">
        <f aca="false">VLOOKUP(SALIDAS[[Código Producto ]],PRODUCTOS[],2,0)</f>
        <v>Chorizo Oxford por kilos (CRUDO)</v>
      </c>
      <c r="E617" s="24" t="n">
        <v>5</v>
      </c>
      <c r="F617" s="0" t="n">
        <f aca="false">SALIDAS[[#This Row],[Cantidad ]]</f>
        <v>5</v>
      </c>
    </row>
    <row r="618" customFormat="false" ht="15.75" hidden="true" customHeight="false" outlineLevel="0" collapsed="false">
      <c r="A618" s="24" t="s">
        <v>219</v>
      </c>
      <c r="B618" s="23" t="n">
        <v>44071</v>
      </c>
      <c r="C618" s="7" t="s">
        <v>83</v>
      </c>
      <c r="D618" s="24" t="str">
        <f aca="false">VLOOKUP(SALIDAS[[Código Producto ]],PRODUCTOS[],2,0)</f>
        <v>Jamon Pizza x 500g</v>
      </c>
      <c r="E618" s="24" t="n">
        <v>2</v>
      </c>
      <c r="F618" s="0" t="n">
        <f aca="false">SALIDAS[[#This Row],[Cantidad ]]*0.5</f>
        <v>1</v>
      </c>
    </row>
    <row r="619" customFormat="false" ht="15.75" hidden="true" customHeight="false" outlineLevel="0" collapsed="false">
      <c r="A619" s="24" t="s">
        <v>219</v>
      </c>
      <c r="B619" s="23" t="n">
        <v>44071</v>
      </c>
      <c r="C619" s="7" t="s">
        <v>135</v>
      </c>
      <c r="D619" s="24" t="str">
        <f aca="false">VLOOKUP(SALIDAS[[Código Producto ]],PRODUCTOS[],2,0)</f>
        <v>Jamon tata a las finas hierbas x 250 g</v>
      </c>
      <c r="E619" s="24" t="n">
        <v>2</v>
      </c>
      <c r="F619" s="0" t="n">
        <f aca="false">SALIDAS[[#This Row],[Cantidad ]]*0.25</f>
        <v>0.5</v>
      </c>
    </row>
    <row r="620" customFormat="false" ht="15.75" hidden="true" customHeight="false" outlineLevel="0" collapsed="false">
      <c r="A620" s="24" t="s">
        <v>219</v>
      </c>
      <c r="B620" s="23" t="n">
        <v>44071</v>
      </c>
      <c r="C620" s="7" t="s">
        <v>131</v>
      </c>
      <c r="D620" s="24" t="str">
        <f aca="false">VLOOKUP(SALIDAS[[Código Producto ]],PRODUCTOS[],2,0)</f>
        <v>Jamon tata x 250 gr</v>
      </c>
      <c r="E620" s="24" t="n">
        <v>2</v>
      </c>
      <c r="F620" s="0" t="n">
        <f aca="false">SALIDAS[[#This Row],[Cantidad ]]*0.25</f>
        <v>0.5</v>
      </c>
    </row>
    <row r="621" customFormat="false" ht="15.75" hidden="true" customHeight="false" outlineLevel="0" collapsed="false">
      <c r="A621" s="24" t="s">
        <v>219</v>
      </c>
      <c r="B621" s="23" t="n">
        <v>44071</v>
      </c>
      <c r="C621" s="7" t="s">
        <v>117</v>
      </c>
      <c r="D621" s="24" t="str">
        <f aca="false">VLOOKUP(SALIDAS[[Código Producto ]],PRODUCTOS[],2,0)</f>
        <v>Tocino Ahumado Redondo  x 200g (ROJO)</v>
      </c>
      <c r="E621" s="24" t="n">
        <v>2</v>
      </c>
      <c r="F621" s="0" t="n">
        <f aca="false">SALIDAS[[#This Row],[Cantidad ]]*0.2</f>
        <v>0.4</v>
      </c>
    </row>
    <row r="622" customFormat="false" ht="15.75" hidden="true" customHeight="false" outlineLevel="0" collapsed="false">
      <c r="A622" s="24" t="s">
        <v>219</v>
      </c>
      <c r="B622" s="23" t="n">
        <v>44071</v>
      </c>
      <c r="C622" s="7" t="s">
        <v>109</v>
      </c>
      <c r="D622" s="24" t="str">
        <f aca="false">VLOOKUP(SALIDAS[[Código Producto ]],PRODUCTOS[],2,0)</f>
        <v>Tocino Ahumado Natural x200g</v>
      </c>
      <c r="E622" s="24" t="n">
        <v>2</v>
      </c>
      <c r="F622" s="0" t="n">
        <f aca="false">SALIDAS[[#This Row],[Cantidad ]]*0.2</f>
        <v>0.4</v>
      </c>
    </row>
    <row r="623" customFormat="false" ht="15.75" hidden="true" customHeight="false" outlineLevel="0" collapsed="false">
      <c r="A623" s="24" t="s">
        <v>219</v>
      </c>
      <c r="B623" s="23" t="n">
        <v>44071</v>
      </c>
      <c r="C623" s="7" t="s">
        <v>47</v>
      </c>
      <c r="D623" s="24" t="str">
        <f aca="false">VLOOKUP(SALIDAS[[Código Producto ]],PRODUCTOS[],2,0)</f>
        <v>Frankfurter granel x 4 unidades 250g</v>
      </c>
      <c r="E623" s="24" t="n">
        <v>2</v>
      </c>
      <c r="F623" s="0" t="n">
        <f aca="false">SALIDAS[[#This Row],[Cantidad ]]*0.24</f>
        <v>0.48</v>
      </c>
    </row>
    <row r="624" customFormat="false" ht="15.75" hidden="true" customHeight="false" outlineLevel="0" collapsed="false">
      <c r="A624" s="24" t="s">
        <v>219</v>
      </c>
      <c r="B624" s="23" t="n">
        <v>44071</v>
      </c>
      <c r="C624" s="7" t="s">
        <v>14</v>
      </c>
      <c r="D624" s="24" t="str">
        <f aca="false">VLOOKUP(SALIDAS[[Código Producto ]],PRODUCTOS[],2,0)</f>
        <v>Chistorra Huachana x 6 unidades 150g</v>
      </c>
      <c r="E624" s="24" t="n">
        <v>2</v>
      </c>
      <c r="F624" s="0" t="n">
        <f aca="false">SALIDAS[[#This Row],[Cantidad ]]*0.15</f>
        <v>0.3</v>
      </c>
    </row>
    <row r="625" customFormat="false" ht="15.75" hidden="true" customHeight="false" outlineLevel="0" collapsed="false">
      <c r="A625" s="24" t="s">
        <v>219</v>
      </c>
      <c r="B625" s="23" t="n">
        <v>44071</v>
      </c>
      <c r="C625" s="7" t="s">
        <v>95</v>
      </c>
      <c r="D625" s="24" t="str">
        <f aca="false">VLOOKUP(SALIDAS[[Código Producto ]],PRODUCTOS[],2,0)</f>
        <v>Morcilla Cocktail x10</v>
      </c>
      <c r="E625" s="24" t="n">
        <v>2</v>
      </c>
      <c r="F625" s="0" t="n">
        <f aca="false">SALIDAS[[#This Row],[Cantidad ]]*0.25</f>
        <v>0.5</v>
      </c>
    </row>
    <row r="626" customFormat="false" ht="15.75" hidden="true" customHeight="false" outlineLevel="0" collapsed="false">
      <c r="A626" s="24" t="s">
        <v>219</v>
      </c>
      <c r="B626" s="23" t="n">
        <v>44071</v>
      </c>
      <c r="C626" s="7" t="s">
        <v>87</v>
      </c>
      <c r="D626" s="24" t="str">
        <f aca="false">VLOOKUP(SALIDAS[[Código Producto ]],PRODUCTOS[],2,0)</f>
        <v>Lomo ahumado x 250g</v>
      </c>
      <c r="E626" s="24" t="n">
        <v>2</v>
      </c>
      <c r="F626" s="0" t="n">
        <f aca="false">SALIDAS[[#This Row],[Cantidad ]]*0.25</f>
        <v>0.5</v>
      </c>
    </row>
    <row r="627" customFormat="false" ht="15.75" hidden="true" customHeight="false" outlineLevel="0" collapsed="false">
      <c r="A627" s="24" t="s">
        <v>231</v>
      </c>
      <c r="B627" s="23" t="n">
        <v>44071</v>
      </c>
      <c r="C627" s="7" t="s">
        <v>83</v>
      </c>
      <c r="D627" s="24" t="str">
        <f aca="false">VLOOKUP(SALIDAS[[Código Producto ]],PRODUCTOS[],2,0)</f>
        <v>Jamon Pizza x 500g</v>
      </c>
      <c r="E627" s="24" t="n">
        <v>1</v>
      </c>
      <c r="F627" s="0" t="n">
        <f aca="false">SALIDAS[[#This Row],[Cantidad ]]*0.5</f>
        <v>0.5</v>
      </c>
    </row>
    <row r="628" customFormat="false" ht="15.75" hidden="true" customHeight="false" outlineLevel="0" collapsed="false">
      <c r="A628" s="24" t="s">
        <v>231</v>
      </c>
      <c r="B628" s="23" t="n">
        <v>44071</v>
      </c>
      <c r="C628" s="7" t="s">
        <v>28</v>
      </c>
      <c r="D628" s="24" t="str">
        <f aca="false">VLOOKUP(SALIDAS[[Código Producto ]],PRODUCTOS[],2,0)</f>
        <v>Chorizo Oxford x 4 unidades 400g</v>
      </c>
      <c r="E628" s="24" t="n">
        <v>1</v>
      </c>
      <c r="F628" s="0" t="n">
        <f aca="false">SALIDAS[[#This Row],[Cantidad ]]*0.4</f>
        <v>0.4</v>
      </c>
    </row>
    <row r="629" customFormat="false" ht="15.75" hidden="true" customHeight="false" outlineLevel="0" collapsed="false">
      <c r="A629" s="24" t="s">
        <v>231</v>
      </c>
      <c r="B629" s="23" t="n">
        <v>44071</v>
      </c>
      <c r="C629" s="7" t="s">
        <v>117</v>
      </c>
      <c r="D629" s="24" t="str">
        <f aca="false">VLOOKUP(SALIDAS[[Código Producto ]],PRODUCTOS[],2,0)</f>
        <v>Tocino Ahumado Redondo  x 200g (ROJO)</v>
      </c>
      <c r="E629" s="24" t="n">
        <v>1</v>
      </c>
      <c r="F629" s="0" t="n">
        <f aca="false">SALIDAS[[#This Row],[Cantidad ]]*0.2</f>
        <v>0.2</v>
      </c>
    </row>
    <row r="630" customFormat="false" ht="15.75" hidden="true" customHeight="false" outlineLevel="0" collapsed="false">
      <c r="A630" s="24" t="s">
        <v>231</v>
      </c>
      <c r="B630" s="23" t="n">
        <v>44071</v>
      </c>
      <c r="C630" s="7" t="s">
        <v>109</v>
      </c>
      <c r="D630" s="24" t="str">
        <f aca="false">VLOOKUP(SALIDAS[[Código Producto ]],PRODUCTOS[],2,0)</f>
        <v>Tocino Ahumado Natural x200g</v>
      </c>
      <c r="E630" s="24" t="n">
        <v>1</v>
      </c>
      <c r="F630" s="0" t="n">
        <f aca="false">SALIDAS[[#This Row],[Cantidad ]]*0.2</f>
        <v>0.2</v>
      </c>
    </row>
    <row r="631" customFormat="false" ht="15.75" hidden="true" customHeight="false" outlineLevel="0" collapsed="false">
      <c r="A631" s="24" t="s">
        <v>231</v>
      </c>
      <c r="B631" s="23" t="n">
        <v>44071</v>
      </c>
      <c r="C631" s="7" t="s">
        <v>139</v>
      </c>
      <c r="D631" s="24" t="str">
        <f aca="false">VLOOKUP(SALIDAS[[Código Producto ]],PRODUCTOS[],2,0)</f>
        <v>Jamon La nonna x 250g</v>
      </c>
      <c r="E631" s="24" t="n">
        <v>1</v>
      </c>
      <c r="F631" s="0" t="n">
        <f aca="false">SALIDAS[[#This Row],[Cantidad ]]*0.25</f>
        <v>0.25</v>
      </c>
    </row>
    <row r="632" customFormat="false" ht="15.75" hidden="true" customHeight="false" outlineLevel="0" collapsed="false">
      <c r="A632" s="24" t="s">
        <v>232</v>
      </c>
      <c r="B632" s="23" t="n">
        <v>44071</v>
      </c>
      <c r="C632" s="7" t="s">
        <v>47</v>
      </c>
      <c r="D632" s="24" t="str">
        <f aca="false">VLOOKUP(SALIDAS[[Código Producto ]],PRODUCTOS[],2,0)</f>
        <v>Frankfurter granel x 4 unidades 250g</v>
      </c>
      <c r="E632" s="24" t="n">
        <v>1</v>
      </c>
      <c r="F632" s="0" t="n">
        <f aca="false">SALIDAS[[#This Row],[Cantidad ]]*0.24</f>
        <v>0.24</v>
      </c>
    </row>
    <row r="633" customFormat="false" ht="15.75" hidden="true" customHeight="false" outlineLevel="0" collapsed="false">
      <c r="A633" s="24" t="s">
        <v>232</v>
      </c>
      <c r="B633" s="23" t="n">
        <v>44071</v>
      </c>
      <c r="C633" s="7" t="s">
        <v>41</v>
      </c>
      <c r="D633" s="24" t="str">
        <f aca="false">VLOOKUP(SALIDAS[[Código Producto ]],PRODUCTOS[],2,0)</f>
        <v>Frankfurter cocktail x 10 unidades x 250g</v>
      </c>
      <c r="E633" s="24" t="n">
        <v>1</v>
      </c>
      <c r="F633" s="0" t="n">
        <f aca="false">SALIDAS[[#This Row],[Cantidad ]]*0.25</f>
        <v>0.25</v>
      </c>
    </row>
    <row r="634" customFormat="false" ht="15.75" hidden="true" customHeight="false" outlineLevel="0" collapsed="false">
      <c r="A634" s="24" t="s">
        <v>232</v>
      </c>
      <c r="B634" s="23" t="n">
        <v>44071</v>
      </c>
      <c r="C634" s="7" t="s">
        <v>14</v>
      </c>
      <c r="D634" s="24" t="str">
        <f aca="false">VLOOKUP(SALIDAS[[Código Producto ]],PRODUCTOS[],2,0)</f>
        <v>Chistorra Huachana x 6 unidades 150g</v>
      </c>
      <c r="E634" s="24" t="n">
        <v>1</v>
      </c>
      <c r="F634" s="0" t="n">
        <f aca="false">SALIDAS[[#This Row],[Cantidad ]]*0.15</f>
        <v>0.15</v>
      </c>
    </row>
    <row r="635" customFormat="false" ht="15.75" hidden="true" customHeight="false" outlineLevel="0" collapsed="false">
      <c r="A635" s="24" t="s">
        <v>232</v>
      </c>
      <c r="B635" s="23" t="n">
        <v>44071</v>
      </c>
      <c r="C635" s="7" t="s">
        <v>139</v>
      </c>
      <c r="D635" s="24" t="str">
        <f aca="false">VLOOKUP(SALIDAS[[Código Producto ]],PRODUCTOS[],2,0)</f>
        <v>Jamon La nonna x 250g</v>
      </c>
      <c r="E635" s="24" t="n">
        <v>1</v>
      </c>
      <c r="F635" s="0" t="n">
        <f aca="false">SALIDAS[[#This Row],[Cantidad ]]*0.25</f>
        <v>0.25</v>
      </c>
    </row>
    <row r="636" customFormat="false" ht="15.75" hidden="true" customHeight="false" outlineLevel="0" collapsed="false">
      <c r="A636" s="24" t="s">
        <v>232</v>
      </c>
      <c r="B636" s="23" t="n">
        <v>44071</v>
      </c>
      <c r="C636" s="7" t="s">
        <v>32</v>
      </c>
      <c r="D636" s="24" t="str">
        <f aca="false">VLOOKUP(SALIDAS[[Código Producto ]],PRODUCTOS[],2,0)</f>
        <v>Chorizo Sweet Spicy 400g</v>
      </c>
      <c r="E636" s="24" t="n">
        <v>1</v>
      </c>
      <c r="F636" s="0" t="n">
        <f aca="false">SALIDAS[[#This Row],[Cantidad ]]*0.4</f>
        <v>0.4</v>
      </c>
    </row>
    <row r="637" customFormat="false" ht="15.75" hidden="true" customHeight="false" outlineLevel="0" collapsed="false">
      <c r="A637" s="22" t="s">
        <v>233</v>
      </c>
      <c r="B637" s="23" t="n">
        <v>44071</v>
      </c>
      <c r="C637" s="7" t="s">
        <v>24</v>
      </c>
      <c r="D637" s="24" t="str">
        <f aca="false">VLOOKUP(SALIDAS[[Código Producto ]],PRODUCTOS[],2,0)</f>
        <v>Chorizo Oxford por kilos (CRUDO)</v>
      </c>
      <c r="E637" s="24" t="n">
        <v>1</v>
      </c>
      <c r="F637" s="0" t="n">
        <f aca="false">SALIDAS[[#This Row],[Cantidad ]]</f>
        <v>1</v>
      </c>
    </row>
    <row r="638" customFormat="false" ht="15.75" hidden="true" customHeight="false" outlineLevel="0" collapsed="false">
      <c r="A638" s="22" t="s">
        <v>233</v>
      </c>
      <c r="B638" s="23" t="n">
        <v>44071</v>
      </c>
      <c r="C638" s="7" t="s">
        <v>87</v>
      </c>
      <c r="D638" s="24" t="str">
        <f aca="false">VLOOKUP(SALIDAS[[Código Producto ]],PRODUCTOS[],2,0)</f>
        <v>Lomo ahumado x 250g</v>
      </c>
      <c r="E638" s="24" t="n">
        <v>1</v>
      </c>
      <c r="F638" s="0" t="n">
        <f aca="false">SALIDAS[[#This Row],[Cantidad ]]*0.25</f>
        <v>0.25</v>
      </c>
    </row>
    <row r="639" customFormat="false" ht="15.75" hidden="true" customHeight="false" outlineLevel="0" collapsed="false">
      <c r="A639" s="22" t="s">
        <v>222</v>
      </c>
      <c r="B639" s="23" t="n">
        <v>44071</v>
      </c>
      <c r="C639" s="7" t="s">
        <v>69</v>
      </c>
      <c r="D639" s="24" t="str">
        <f aca="false">VLOOKUP(SALIDAS[[Código Producto ]],PRODUCTOS[],2,0)</f>
        <v>Jamon del país artesanal 250g</v>
      </c>
      <c r="E639" s="24" t="n">
        <v>3</v>
      </c>
      <c r="F639" s="0" t="n">
        <f aca="false">SALIDAS[[#This Row],[Cantidad ]]*0.25</f>
        <v>0.75</v>
      </c>
    </row>
    <row r="640" customFormat="false" ht="15.75" hidden="true" customHeight="false" outlineLevel="0" collapsed="false">
      <c r="A640" s="22" t="s">
        <v>222</v>
      </c>
      <c r="B640" s="23" t="n">
        <v>44071</v>
      </c>
      <c r="C640" s="7" t="s">
        <v>139</v>
      </c>
      <c r="D640" s="24" t="str">
        <f aca="false">VLOOKUP(SALIDAS[[Código Producto ]],PRODUCTOS[],2,0)</f>
        <v>Jamon La nonna x 250g</v>
      </c>
      <c r="E640" s="24" t="n">
        <v>3</v>
      </c>
      <c r="F640" s="0" t="n">
        <f aca="false">SALIDAS[[#This Row],[Cantidad ]]*0.25</f>
        <v>0.75</v>
      </c>
    </row>
    <row r="641" customFormat="false" ht="15.75" hidden="true" customHeight="false" outlineLevel="0" collapsed="false">
      <c r="A641" s="22" t="s">
        <v>222</v>
      </c>
      <c r="B641" s="23" t="n">
        <v>44071</v>
      </c>
      <c r="C641" s="7" t="s">
        <v>47</v>
      </c>
      <c r="D641" s="24" t="str">
        <f aca="false">VLOOKUP(SALIDAS[[Código Producto ]],PRODUCTOS[],2,0)</f>
        <v>Frankfurter granel x 4 unidades 250g</v>
      </c>
      <c r="E641" s="24" t="n">
        <v>3</v>
      </c>
      <c r="F641" s="0" t="n">
        <f aca="false">SALIDAS[[#This Row],[Cantidad ]]*0.24</f>
        <v>0.72</v>
      </c>
    </row>
    <row r="642" customFormat="false" ht="15.75" hidden="true" customHeight="false" outlineLevel="0" collapsed="false">
      <c r="A642" s="22" t="s">
        <v>222</v>
      </c>
      <c r="B642" s="23" t="n">
        <v>44071</v>
      </c>
      <c r="C642" s="7" t="s">
        <v>20</v>
      </c>
      <c r="D642" s="24" t="str">
        <f aca="false">VLOOKUP(SALIDAS[[Código Producto ]],PRODUCTOS[],2,0)</f>
        <v>Chorizo finas hierbas x 4 unidades 400g</v>
      </c>
      <c r="E642" s="24" t="n">
        <v>3</v>
      </c>
      <c r="F642" s="0" t="n">
        <f aca="false">SALIDAS[[#This Row],[Cantidad ]]*0.4</f>
        <v>1.2</v>
      </c>
    </row>
    <row r="643" customFormat="false" ht="15.75" hidden="false" customHeight="false" outlineLevel="0" collapsed="false">
      <c r="A643" s="24" t="s">
        <v>159</v>
      </c>
      <c r="B643" s="23" t="n">
        <v>44071</v>
      </c>
      <c r="C643" s="7" t="s">
        <v>24</v>
      </c>
      <c r="D643" s="24" t="str">
        <f aca="false">VLOOKUP(SALIDAS[[Código Producto ]],PRODUCTOS[],2,0)</f>
        <v>Chorizo Oxford por kilos (CRUDO)</v>
      </c>
      <c r="E643" s="24" t="n">
        <v>15</v>
      </c>
      <c r="F643" s="0" t="n">
        <f aca="false">SALIDAS[[#This Row],[Cantidad ]]</f>
        <v>15</v>
      </c>
    </row>
    <row r="644" customFormat="false" ht="15.75" hidden="false" customHeight="false" outlineLevel="0" collapsed="false">
      <c r="A644" s="24" t="s">
        <v>159</v>
      </c>
      <c r="B644" s="23" t="n">
        <v>44071</v>
      </c>
      <c r="C644" s="7" t="s">
        <v>83</v>
      </c>
      <c r="D644" s="24" t="str">
        <f aca="false">VLOOKUP(SALIDAS[[Código Producto ]],PRODUCTOS[],2,0)</f>
        <v>Jamon Pizza x 500g</v>
      </c>
      <c r="E644" s="24" t="n">
        <v>8</v>
      </c>
      <c r="F644" s="0" t="n">
        <f aca="false">SALIDAS[[#This Row],[Cantidad ]]*0.5</f>
        <v>4</v>
      </c>
    </row>
    <row r="645" customFormat="false" ht="15.75" hidden="false" customHeight="false" outlineLevel="0" collapsed="false">
      <c r="A645" s="24" t="s">
        <v>159</v>
      </c>
      <c r="B645" s="23" t="n">
        <v>44071</v>
      </c>
      <c r="C645" s="7" t="s">
        <v>113</v>
      </c>
      <c r="D645" s="24" t="str">
        <f aca="false">VLOOKUP(SALIDAS[[Código Producto ]],PRODUCTOS[],2,0)</f>
        <v>Tocino Ahumado Natural x500g</v>
      </c>
      <c r="E645" s="24" t="n">
        <v>12</v>
      </c>
      <c r="F645" s="0" t="n">
        <f aca="false">SALIDAS[[#This Row],[Cantidad ]]*0.5</f>
        <v>6</v>
      </c>
    </row>
    <row r="646" customFormat="false" ht="15.75" hidden="false" customHeight="false" outlineLevel="0" collapsed="false">
      <c r="A646" s="24" t="s">
        <v>159</v>
      </c>
      <c r="B646" s="23" t="n">
        <v>44071</v>
      </c>
      <c r="C646" s="7" t="s">
        <v>43</v>
      </c>
      <c r="D646" s="24" t="str">
        <f aca="false">VLOOKUP(SALIDAS[[Código Producto ]],PRODUCTOS[],2,0)</f>
        <v>Frankfurter Gastronomico x 2Kg</v>
      </c>
      <c r="E646" s="24" t="n">
        <v>34</v>
      </c>
      <c r="F646" s="0" t="n">
        <f aca="false">SALIDAS[[#This Row],[Cantidad ]]*2</f>
        <v>68</v>
      </c>
    </row>
    <row r="647" customFormat="false" ht="15.75" hidden="false" customHeight="false" outlineLevel="0" collapsed="false">
      <c r="A647" s="24" t="s">
        <v>159</v>
      </c>
      <c r="B647" s="23" t="n">
        <v>44071</v>
      </c>
      <c r="C647" s="7" t="s">
        <v>87</v>
      </c>
      <c r="D647" s="24" t="str">
        <f aca="false">VLOOKUP(SALIDAS[[Código Producto ]],PRODUCTOS[],2,0)</f>
        <v>Lomo ahumado x 250g</v>
      </c>
      <c r="E647" s="24" t="n">
        <v>4</v>
      </c>
      <c r="F647" s="0" t="n">
        <f aca="false">SALIDAS[[#This Row],[Cantidad ]]*0.25</f>
        <v>1</v>
      </c>
    </row>
    <row r="648" customFormat="false" ht="15.75" hidden="false" customHeight="false" outlineLevel="0" collapsed="false">
      <c r="A648" s="24" t="s">
        <v>234</v>
      </c>
      <c r="B648" s="23" t="n">
        <v>44071</v>
      </c>
      <c r="C648" s="7" t="s">
        <v>113</v>
      </c>
      <c r="D648" s="24" t="str">
        <f aca="false">VLOOKUP(SALIDAS[[Código Producto ]],PRODUCTOS[],2,0)</f>
        <v>Tocino Ahumado Natural x500g</v>
      </c>
      <c r="E648" s="24" t="n">
        <v>60</v>
      </c>
      <c r="F648" s="0" t="n">
        <f aca="false">SALIDAS[[#This Row],[Cantidad ]]*0.5</f>
        <v>30</v>
      </c>
    </row>
    <row r="649" customFormat="false" ht="15.75" hidden="false" customHeight="false" outlineLevel="0" collapsed="false">
      <c r="A649" s="24" t="s">
        <v>185</v>
      </c>
      <c r="B649" s="23" t="n">
        <v>44071</v>
      </c>
      <c r="C649" s="7" t="s">
        <v>121</v>
      </c>
      <c r="D649" s="24" t="str">
        <f aca="false">VLOOKUP(SALIDAS[[Código Producto ]],PRODUCTOS[],2,0)</f>
        <v>Tocino ahumado Redondo x 500g (ROJO)</v>
      </c>
      <c r="E649" s="24" t="n">
        <v>5</v>
      </c>
      <c r="F649" s="0" t="n">
        <f aca="false">SALIDAS[[#This Row],[Cantidad ]]*0.5</f>
        <v>2.5</v>
      </c>
    </row>
    <row r="650" customFormat="false" ht="15" hidden="false" customHeight="false" outlineLevel="0" collapsed="false">
      <c r="A650" s="24" t="s">
        <v>197</v>
      </c>
      <c r="B650" s="23" t="n">
        <v>44072</v>
      </c>
      <c r="C650" s="12" t="s">
        <v>20</v>
      </c>
      <c r="D650" s="24" t="str">
        <f aca="false">VLOOKUP(SALIDAS[[Código Producto ]],PRODUCTOS[],2,0)</f>
        <v>Chorizo finas hierbas x 4 unidades 400g</v>
      </c>
      <c r="E650" s="24" t="n">
        <v>6</v>
      </c>
      <c r="F650" s="0" t="n">
        <f aca="false">SALIDAS[[#This Row],[Cantidad ]]*0.4</f>
        <v>2.4</v>
      </c>
    </row>
    <row r="651" customFormat="false" ht="15" hidden="false" customHeight="false" outlineLevel="0" collapsed="false">
      <c r="A651" s="24" t="s">
        <v>197</v>
      </c>
      <c r="B651" s="23" t="n">
        <v>44072</v>
      </c>
      <c r="C651" s="12" t="s">
        <v>83</v>
      </c>
      <c r="D651" s="24" t="str">
        <f aca="false">VLOOKUP(SALIDAS[[Código Producto ]],PRODUCTOS[],2,0)</f>
        <v>Jamon Pizza x 500g</v>
      </c>
      <c r="E651" s="24" t="n">
        <v>6</v>
      </c>
      <c r="F651" s="0" t="n">
        <f aca="false">SALIDAS[[#This Row],[Cantidad ]]*0.5</f>
        <v>3</v>
      </c>
    </row>
    <row r="652" customFormat="false" ht="15" hidden="false" customHeight="false" outlineLevel="0" collapsed="false">
      <c r="A652" s="24" t="s">
        <v>197</v>
      </c>
      <c r="B652" s="23" t="n">
        <v>44072</v>
      </c>
      <c r="C652" s="12" t="s">
        <v>14</v>
      </c>
      <c r="D652" s="24" t="str">
        <f aca="false">VLOOKUP(SALIDAS[[Código Producto ]],PRODUCTOS[],2,0)</f>
        <v>Chistorra Huachana x 6 unidades 150g</v>
      </c>
      <c r="E652" s="24" t="n">
        <v>6</v>
      </c>
      <c r="F652" s="0" t="n">
        <f aca="false">SALIDAS[[#This Row],[Cantidad ]]*0.15</f>
        <v>0.9</v>
      </c>
    </row>
    <row r="653" customFormat="false" ht="15.75" hidden="false" customHeight="false" outlineLevel="0" collapsed="false">
      <c r="A653" s="24" t="s">
        <v>197</v>
      </c>
      <c r="B653" s="23" t="n">
        <v>44072</v>
      </c>
      <c r="C653" s="7" t="s">
        <v>28</v>
      </c>
      <c r="D653" s="24" t="str">
        <f aca="false">VLOOKUP(SALIDAS[[Código Producto ]],PRODUCTOS[],2,0)</f>
        <v>Chorizo Oxford x 4 unidades 400g</v>
      </c>
      <c r="E653" s="24" t="n">
        <v>18</v>
      </c>
      <c r="F653" s="0" t="n">
        <f aca="false">SALIDAS[[#This Row],[Cantidad ]]*0.4</f>
        <v>7.2</v>
      </c>
    </row>
    <row r="654" customFormat="false" ht="15.75" hidden="false" customHeight="false" outlineLevel="0" collapsed="false">
      <c r="A654" s="24" t="s">
        <v>197</v>
      </c>
      <c r="B654" s="23" t="n">
        <v>44072</v>
      </c>
      <c r="C654" s="7" t="s">
        <v>97</v>
      </c>
      <c r="D654" s="24" t="str">
        <f aca="false">VLOOKUP(SALIDAS[[Código Producto ]],PRODUCTOS[],2,0)</f>
        <v>Morcilla Granel x3</v>
      </c>
      <c r="E654" s="24" t="n">
        <v>4</v>
      </c>
      <c r="F654" s="0" t="n">
        <f aca="false">SALIDAS[[#This Row],[Cantidad ]]*0.24</f>
        <v>0.96</v>
      </c>
    </row>
    <row r="655" customFormat="false" ht="15.75" hidden="false" customHeight="false" outlineLevel="0" collapsed="false">
      <c r="A655" s="24" t="s">
        <v>157</v>
      </c>
      <c r="B655" s="23" t="n">
        <v>44072</v>
      </c>
      <c r="C655" s="7" t="s">
        <v>47</v>
      </c>
      <c r="D655" s="24" t="str">
        <f aca="false">VLOOKUP(SALIDAS[[Código Producto ]],PRODUCTOS[],2,0)</f>
        <v>Frankfurter granel x 4 unidades 250g</v>
      </c>
      <c r="E655" s="24" t="n">
        <v>2</v>
      </c>
      <c r="F655" s="0" t="n">
        <f aca="false">SALIDAS[[#This Row],[Cantidad ]]*0.24</f>
        <v>0.48</v>
      </c>
    </row>
    <row r="656" customFormat="false" ht="15.75" hidden="false" customHeight="false" outlineLevel="0" collapsed="false">
      <c r="A656" s="24" t="s">
        <v>157</v>
      </c>
      <c r="B656" s="23" t="n">
        <v>44072</v>
      </c>
      <c r="C656" s="7" t="s">
        <v>14</v>
      </c>
      <c r="D656" s="24" t="str">
        <f aca="false">VLOOKUP(SALIDAS[[Código Producto ]],PRODUCTOS[],2,0)</f>
        <v>Chistorra Huachana x 6 unidades 150g</v>
      </c>
      <c r="E656" s="24" t="n">
        <v>5</v>
      </c>
      <c r="F656" s="0" t="n">
        <f aca="false">SALIDAS[[#This Row],[Cantidad ]]*0.15</f>
        <v>0.75</v>
      </c>
    </row>
    <row r="657" customFormat="false" ht="15" hidden="false" customHeight="true" outlineLevel="0" collapsed="false">
      <c r="A657" s="24" t="s">
        <v>167</v>
      </c>
      <c r="B657" s="23" t="n">
        <v>44072</v>
      </c>
      <c r="C657" s="7" t="s">
        <v>30</v>
      </c>
      <c r="D657" s="24" t="str">
        <f aca="false">VLOOKUP(SALIDAS[[Código Producto ]],PRODUCTOS[],2,0)</f>
        <v>Chorizo Oxford x 6 unidades 600g</v>
      </c>
      <c r="E657" s="24" t="n">
        <v>4</v>
      </c>
      <c r="F657" s="0" t="n">
        <f aca="false">SALIDAS[[#This Row],[Cantidad ]]*0.6</f>
        <v>2.4</v>
      </c>
    </row>
    <row r="658" customFormat="false" ht="15.75" hidden="false" customHeight="false" outlineLevel="0" collapsed="false">
      <c r="A658" s="24" t="s">
        <v>167</v>
      </c>
      <c r="B658" s="23" t="n">
        <v>44072</v>
      </c>
      <c r="C658" s="7" t="s">
        <v>22</v>
      </c>
      <c r="D658" s="24" t="str">
        <f aca="false">VLOOKUP(SALIDAS[[Código Producto ]],PRODUCTOS[],2,0)</f>
        <v>Chorizo finas hierbas x 6 unidades 600g</v>
      </c>
      <c r="E658" s="24" t="n">
        <v>7</v>
      </c>
      <c r="F658" s="0" t="n">
        <f aca="false">SALIDAS[[#This Row],[Cantidad ]]*0.6</f>
        <v>4.2</v>
      </c>
    </row>
    <row r="659" customFormat="false" ht="15.75" hidden="false" customHeight="false" outlineLevel="0" collapsed="false">
      <c r="A659" s="24" t="s">
        <v>167</v>
      </c>
      <c r="B659" s="23" t="n">
        <v>44072</v>
      </c>
      <c r="C659" s="7" t="s">
        <v>20</v>
      </c>
      <c r="D659" s="24" t="str">
        <f aca="false">VLOOKUP(SALIDAS[[Código Producto ]],PRODUCTOS[],2,0)</f>
        <v>Chorizo finas hierbas x 4 unidades 400g</v>
      </c>
      <c r="E659" s="24" t="n">
        <v>6</v>
      </c>
      <c r="F659" s="0" t="n">
        <f aca="false">SALIDAS[[#This Row],[Cantidad ]]*0.4</f>
        <v>2.4</v>
      </c>
    </row>
    <row r="660" customFormat="false" ht="15.75" hidden="false" customHeight="false" outlineLevel="0" collapsed="false">
      <c r="A660" s="24" t="s">
        <v>167</v>
      </c>
      <c r="B660" s="23" t="n">
        <v>44072</v>
      </c>
      <c r="C660" s="7" t="s">
        <v>8</v>
      </c>
      <c r="D660" s="24" t="str">
        <f aca="false">VLOOKUP(SALIDAS[[Código Producto ]],PRODUCTOS[],2,0)</f>
        <v>Bratwurst x 4 unidades 320g </v>
      </c>
      <c r="E660" s="24" t="n">
        <v>10</v>
      </c>
      <c r="F660" s="0" t="n">
        <f aca="false">SALIDAS[[#This Row],[Cantidad ]]*0.32</f>
        <v>3.2</v>
      </c>
    </row>
    <row r="661" customFormat="false" ht="15.75" hidden="false" customHeight="false" outlineLevel="0" collapsed="false">
      <c r="A661" s="24" t="s">
        <v>167</v>
      </c>
      <c r="B661" s="23" t="n">
        <v>44072</v>
      </c>
      <c r="C661" s="7" t="s">
        <v>125</v>
      </c>
      <c r="D661" s="24" t="str">
        <f aca="false">VLOOKUP(SALIDAS[[Código Producto ]],PRODUCTOS[],2,0)</f>
        <v>Vienesa x 5 unidades X 250g</v>
      </c>
      <c r="E661" s="24" t="n">
        <v>9</v>
      </c>
      <c r="F661" s="0" t="n">
        <f aca="false">SALIDAS[[#This Row],[Cantidad ]]*0.25</f>
        <v>2.25</v>
      </c>
    </row>
    <row r="662" customFormat="false" ht="15.75" hidden="false" customHeight="false" outlineLevel="0" collapsed="false">
      <c r="A662" s="24" t="s">
        <v>167</v>
      </c>
      <c r="B662" s="23" t="n">
        <v>44072</v>
      </c>
      <c r="C662" s="7" t="s">
        <v>47</v>
      </c>
      <c r="D662" s="24" t="str">
        <f aca="false">VLOOKUP(SALIDAS[[Código Producto ]],PRODUCTOS[],2,0)</f>
        <v>Frankfurter granel x 4 unidades 250g</v>
      </c>
      <c r="E662" s="24" t="n">
        <v>10</v>
      </c>
      <c r="F662" s="0" t="n">
        <f aca="false">SALIDAS[[#This Row],[Cantidad ]]*0.24</f>
        <v>2.4</v>
      </c>
    </row>
    <row r="663" customFormat="false" ht="15.75" hidden="false" customHeight="false" outlineLevel="0" collapsed="false">
      <c r="A663" s="24" t="s">
        <v>167</v>
      </c>
      <c r="B663" s="23" t="n">
        <v>44072</v>
      </c>
      <c r="C663" s="7" t="s">
        <v>41</v>
      </c>
      <c r="D663" s="24" t="str">
        <f aca="false">VLOOKUP(SALIDAS[[Código Producto ]],PRODUCTOS[],2,0)</f>
        <v>Frankfurter cocktail x 10 unidades x 250g</v>
      </c>
      <c r="E663" s="24" t="n">
        <v>3</v>
      </c>
      <c r="F663" s="0" t="n">
        <f aca="false">SALIDAS[[#This Row],[Cantidad ]]*0.25</f>
        <v>0.75</v>
      </c>
    </row>
    <row r="664" customFormat="false" ht="15.75" hidden="false" customHeight="false" outlineLevel="0" collapsed="false">
      <c r="A664" s="24" t="s">
        <v>167</v>
      </c>
      <c r="B664" s="23" t="n">
        <v>44072</v>
      </c>
      <c r="C664" s="7" t="s">
        <v>14</v>
      </c>
      <c r="D664" s="24" t="str">
        <f aca="false">VLOOKUP(SALIDAS[[Código Producto ]],PRODUCTOS[],2,0)</f>
        <v>Chistorra Huachana x 6 unidades 150g</v>
      </c>
      <c r="E664" s="24" t="n">
        <v>10</v>
      </c>
      <c r="F664" s="0" t="n">
        <f aca="false">SALIDAS[[#This Row],[Cantidad ]]*0.15</f>
        <v>1.5</v>
      </c>
    </row>
    <row r="665" customFormat="false" ht="15.75" hidden="false" customHeight="false" outlineLevel="0" collapsed="false">
      <c r="A665" s="24" t="s">
        <v>167</v>
      </c>
      <c r="B665" s="23" t="n">
        <v>44072</v>
      </c>
      <c r="C665" s="7" t="s">
        <v>97</v>
      </c>
      <c r="D665" s="24" t="str">
        <f aca="false">VLOOKUP(SALIDAS[[Código Producto ]],PRODUCTOS[],2,0)</f>
        <v>Morcilla Granel x3</v>
      </c>
      <c r="E665" s="24" t="n">
        <v>6</v>
      </c>
      <c r="F665" s="0" t="n">
        <f aca="false">SALIDAS[[#This Row],[Cantidad ]]*0.24</f>
        <v>1.44</v>
      </c>
    </row>
    <row r="666" customFormat="false" ht="15.75" hidden="false" customHeight="false" outlineLevel="0" collapsed="false">
      <c r="A666" s="24" t="s">
        <v>167</v>
      </c>
      <c r="B666" s="23" t="n">
        <v>44072</v>
      </c>
      <c r="C666" s="7" t="s">
        <v>117</v>
      </c>
      <c r="D666" s="24" t="str">
        <f aca="false">VLOOKUP(SALIDAS[[Código Producto ]],PRODUCTOS[],2,0)</f>
        <v>Tocino Ahumado Redondo  x 200g (ROJO)</v>
      </c>
      <c r="E666" s="24" t="n">
        <v>5</v>
      </c>
      <c r="F666" s="0" t="n">
        <f aca="false">SALIDAS[[#This Row],[Cantidad ]]*0.2</f>
        <v>1</v>
      </c>
    </row>
    <row r="667" customFormat="false" ht="15.75" hidden="false" customHeight="false" outlineLevel="0" collapsed="false">
      <c r="A667" s="24" t="s">
        <v>167</v>
      </c>
      <c r="B667" s="23" t="n">
        <v>44072</v>
      </c>
      <c r="C667" s="7" t="s">
        <v>109</v>
      </c>
      <c r="D667" s="24" t="str">
        <f aca="false">VLOOKUP(SALIDAS[[Código Producto ]],PRODUCTOS[],2,0)</f>
        <v>Tocino Ahumado Natural x200g</v>
      </c>
      <c r="E667" s="24" t="n">
        <v>10</v>
      </c>
      <c r="F667" s="0" t="n">
        <f aca="false">SALIDAS[[#This Row],[Cantidad ]]*0.2</f>
        <v>2</v>
      </c>
    </row>
    <row r="668" customFormat="false" ht="15.75" hidden="false" customHeight="false" outlineLevel="0" collapsed="false">
      <c r="A668" s="24" t="s">
        <v>167</v>
      </c>
      <c r="B668" s="23" t="n">
        <v>44072</v>
      </c>
      <c r="C668" s="7" t="s">
        <v>77</v>
      </c>
      <c r="D668" s="24" t="str">
        <f aca="false">VLOOKUP(SALIDAS[[Código Producto ]],PRODUCTOS[],2,0)</f>
        <v>Jamon Ingles x 300g </v>
      </c>
      <c r="E668" s="24" t="n">
        <v>10</v>
      </c>
      <c r="F668" s="0" t="n">
        <f aca="false">SALIDAS[[#This Row],[Cantidad ]]*0.3</f>
        <v>3</v>
      </c>
    </row>
    <row r="669" customFormat="false" ht="15.75" hidden="false" customHeight="false" outlineLevel="0" collapsed="false">
      <c r="A669" s="24" t="s">
        <v>167</v>
      </c>
      <c r="B669" s="23" t="n">
        <v>44072</v>
      </c>
      <c r="C669" s="7" t="s">
        <v>69</v>
      </c>
      <c r="D669" s="24" t="str">
        <f aca="false">VLOOKUP(SALIDAS[[Código Producto ]],PRODUCTOS[],2,0)</f>
        <v>Jamon del país artesanal 250g</v>
      </c>
      <c r="E669" s="24" t="n">
        <v>3</v>
      </c>
      <c r="F669" s="0" t="n">
        <f aca="false">SALIDAS[[#This Row],[Cantidad ]]*0.25</f>
        <v>0.75</v>
      </c>
    </row>
    <row r="670" customFormat="false" ht="15.75" hidden="false" customHeight="false" outlineLevel="0" collapsed="false">
      <c r="A670" s="24" t="s">
        <v>167</v>
      </c>
      <c r="B670" s="23" t="n">
        <v>44072</v>
      </c>
      <c r="C670" s="7" t="s">
        <v>131</v>
      </c>
      <c r="D670" s="24" t="str">
        <f aca="false">VLOOKUP(SALIDAS[[Código Producto ]],PRODUCTOS[],2,0)</f>
        <v>Jamon tata x 250 gr</v>
      </c>
      <c r="E670" s="24" t="n">
        <v>1</v>
      </c>
      <c r="F670" s="0" t="n">
        <f aca="false">SALIDAS[[#This Row],[Cantidad ]]*0.25</f>
        <v>0.25</v>
      </c>
    </row>
    <row r="671" customFormat="false" ht="15.75" hidden="false" customHeight="false" outlineLevel="0" collapsed="false">
      <c r="A671" s="24" t="s">
        <v>167</v>
      </c>
      <c r="B671" s="23" t="n">
        <v>44072</v>
      </c>
      <c r="C671" s="7" t="s">
        <v>137</v>
      </c>
      <c r="D671" s="24" t="str">
        <f aca="false">VLOOKUP(SALIDAS[[Código Producto ]],PRODUCTOS[],2,0)</f>
        <v>Jamon tata a las finas hierbas x 300g</v>
      </c>
      <c r="E671" s="24" t="n">
        <v>4</v>
      </c>
      <c r="F671" s="0" t="n">
        <f aca="false">SALIDAS[[#This Row],[Cantidad ]]*0.3</f>
        <v>1.2</v>
      </c>
    </row>
    <row r="672" customFormat="false" ht="15.75" hidden="false" customHeight="false" outlineLevel="0" collapsed="false">
      <c r="A672" s="24" t="s">
        <v>167</v>
      </c>
      <c r="B672" s="23" t="n">
        <v>44072</v>
      </c>
      <c r="C672" s="7" t="s">
        <v>139</v>
      </c>
      <c r="D672" s="24" t="str">
        <f aca="false">VLOOKUP(SALIDAS[[Código Producto ]],PRODUCTOS[],2,0)</f>
        <v>Jamon La nonna x 250g</v>
      </c>
      <c r="E672" s="24" t="n">
        <v>3</v>
      </c>
      <c r="F672" s="0" t="n">
        <f aca="false">SALIDAS[[#This Row],[Cantidad ]]*0.25</f>
        <v>0.75</v>
      </c>
    </row>
    <row r="673" customFormat="false" ht="15.75" hidden="false" customHeight="false" outlineLevel="0" collapsed="false">
      <c r="A673" s="24" t="s">
        <v>167</v>
      </c>
      <c r="B673" s="23" t="n">
        <v>44069</v>
      </c>
      <c r="C673" s="7" t="s">
        <v>109</v>
      </c>
      <c r="D673" s="24" t="str">
        <f aca="false">VLOOKUP(SALIDAS[[Código Producto ]],PRODUCTOS[],2,0)</f>
        <v>Tocino Ahumado Natural x200g</v>
      </c>
      <c r="E673" s="24" t="n">
        <v>5</v>
      </c>
      <c r="F673" s="0" t="n">
        <f aca="false">SALIDAS[[#This Row],[Cantidad ]]*0.2</f>
        <v>1</v>
      </c>
    </row>
    <row r="674" customFormat="false" ht="15.75" hidden="false" customHeight="false" outlineLevel="0" collapsed="false">
      <c r="A674" s="24" t="s">
        <v>167</v>
      </c>
      <c r="B674" s="23" t="n">
        <v>44069</v>
      </c>
      <c r="C674" s="7" t="s">
        <v>49</v>
      </c>
      <c r="D674" s="24" t="str">
        <f aca="false">VLOOKUP(SALIDAS[[Código Producto ]],PRODUCTOS[],2,0)</f>
        <v>Frankfurter municipal x 3 unidades </v>
      </c>
      <c r="E674" s="24" t="n">
        <v>10</v>
      </c>
      <c r="F674" s="0" t="n">
        <f aca="false">SALIDAS[[#This Row],[Cantidad ]]*0.45</f>
        <v>4.5</v>
      </c>
    </row>
    <row r="675" customFormat="false" ht="15.75" hidden="false" customHeight="false" outlineLevel="0" collapsed="false">
      <c r="A675" s="24" t="s">
        <v>167</v>
      </c>
      <c r="B675" s="23" t="n">
        <v>44069</v>
      </c>
      <c r="C675" s="7" t="s">
        <v>93</v>
      </c>
      <c r="D675" s="24" t="str">
        <f aca="false">VLOOKUP(SALIDAS[[Código Producto ]],PRODUCTOS[],2,0)</f>
        <v>Longaniza Huachana x 350g</v>
      </c>
      <c r="E675" s="24" t="n">
        <v>5</v>
      </c>
      <c r="F675" s="0" t="n">
        <f aca="false">SALIDAS[[#This Row],[Cantidad ]]*0.34</f>
        <v>1.7</v>
      </c>
    </row>
    <row r="676" customFormat="false" ht="15.75" hidden="false" customHeight="false" outlineLevel="0" collapsed="false">
      <c r="A676" s="24" t="s">
        <v>235</v>
      </c>
      <c r="B676" s="23" t="n">
        <v>44072</v>
      </c>
      <c r="C676" s="7" t="s">
        <v>79</v>
      </c>
      <c r="D676" s="24" t="str">
        <f aca="false">VLOOKUP(SALIDAS[[Código Producto ]],PRODUCTOS[],2,0)</f>
        <v>Jamon pizza  x 3.2 Kg (Entero)</v>
      </c>
      <c r="E676" s="24" t="n">
        <v>3.575</v>
      </c>
      <c r="F676" s="0" t="n">
        <f aca="false">SALIDAS[[#This Row],[Cantidad ]]</f>
        <v>3.575</v>
      </c>
    </row>
    <row r="677" customFormat="false" ht="15.75" hidden="false" customHeight="false" outlineLevel="0" collapsed="false">
      <c r="A677" s="24" t="s">
        <v>235</v>
      </c>
      <c r="B677" s="23" t="n">
        <v>44072</v>
      </c>
      <c r="C677" s="7" t="s">
        <v>125</v>
      </c>
      <c r="D677" s="24" t="str">
        <f aca="false">VLOOKUP(SALIDAS[[Código Producto ]],PRODUCTOS[],2,0)</f>
        <v>Vienesa x 5 unidades X 250g</v>
      </c>
      <c r="E677" s="24" t="n">
        <v>1</v>
      </c>
      <c r="F677" s="0" t="n">
        <f aca="false">SALIDAS[[#This Row],[Cantidad ]]*0.25</f>
        <v>0.25</v>
      </c>
    </row>
    <row r="678" customFormat="false" ht="15.75" hidden="true" customHeight="false" outlineLevel="0" collapsed="false">
      <c r="A678" s="24" t="s">
        <v>236</v>
      </c>
      <c r="B678" s="23" t="n">
        <v>44072</v>
      </c>
      <c r="C678" s="7" t="s">
        <v>117</v>
      </c>
      <c r="D678" s="24" t="str">
        <f aca="false">VLOOKUP(SALIDAS[[Código Producto ]],PRODUCTOS[],2,0)</f>
        <v>Tocino Ahumado Redondo  x 200g (ROJO)</v>
      </c>
      <c r="E678" s="24" t="n">
        <v>1</v>
      </c>
      <c r="F678" s="0" t="n">
        <f aca="false">SALIDAS[[#This Row],[Cantidad ]]*0.2</f>
        <v>0.2</v>
      </c>
    </row>
    <row r="679" customFormat="false" ht="15.75" hidden="true" customHeight="false" outlineLevel="0" collapsed="false">
      <c r="A679" s="24" t="s">
        <v>236</v>
      </c>
      <c r="B679" s="23" t="n">
        <v>44072</v>
      </c>
      <c r="C679" s="7" t="s">
        <v>14</v>
      </c>
      <c r="D679" s="24" t="str">
        <f aca="false">VLOOKUP(SALIDAS[[Código Producto ]],PRODUCTOS[],2,0)</f>
        <v>Chistorra Huachana x 6 unidades 150g</v>
      </c>
      <c r="E679" s="24" t="n">
        <v>1</v>
      </c>
      <c r="F679" s="0" t="n">
        <f aca="false">SALIDAS[[#This Row],[Cantidad ]]*15</f>
        <v>15</v>
      </c>
    </row>
    <row r="680" customFormat="false" ht="15.75" hidden="true" customHeight="false" outlineLevel="0" collapsed="false">
      <c r="A680" s="24" t="s">
        <v>236</v>
      </c>
      <c r="B680" s="23" t="n">
        <v>44072</v>
      </c>
      <c r="C680" s="7" t="s">
        <v>47</v>
      </c>
      <c r="D680" s="24" t="str">
        <f aca="false">VLOOKUP(SALIDAS[[Código Producto ]],PRODUCTOS[],2,0)</f>
        <v>Frankfurter granel x 4 unidades 250g</v>
      </c>
      <c r="E680" s="24" t="n">
        <v>1</v>
      </c>
      <c r="F680" s="0" t="n">
        <f aca="false">SALIDAS[[#This Row],[Cantidad ]]*0.24</f>
        <v>0.24</v>
      </c>
    </row>
    <row r="681" customFormat="false" ht="15.75" hidden="true" customHeight="false" outlineLevel="0" collapsed="false">
      <c r="A681" s="24" t="s">
        <v>236</v>
      </c>
      <c r="B681" s="23" t="n">
        <v>44072</v>
      </c>
      <c r="C681" s="7" t="s">
        <v>41</v>
      </c>
      <c r="D681" s="24" t="str">
        <f aca="false">VLOOKUP(SALIDAS[[Código Producto ]],PRODUCTOS[],2,0)</f>
        <v>Frankfurter cocktail x 10 unidades x 250g</v>
      </c>
      <c r="E681" s="24" t="n">
        <v>1</v>
      </c>
      <c r="F681" s="0" t="n">
        <f aca="false">SALIDAS[[#This Row],[Cantidad ]]*0.25</f>
        <v>0.25</v>
      </c>
    </row>
    <row r="682" customFormat="false" ht="15.75" hidden="true" customHeight="false" outlineLevel="0" collapsed="false">
      <c r="A682" s="24" t="s">
        <v>236</v>
      </c>
      <c r="B682" s="23" t="n">
        <v>44072</v>
      </c>
      <c r="C682" s="7" t="s">
        <v>95</v>
      </c>
      <c r="D682" s="24" t="str">
        <f aca="false">VLOOKUP(SALIDAS[[Código Producto ]],PRODUCTOS[],2,0)</f>
        <v>Morcilla Cocktail x10</v>
      </c>
      <c r="E682" s="24" t="n">
        <v>1</v>
      </c>
      <c r="F682" s="0" t="n">
        <f aca="false">SALIDAS[[#This Row],[Cantidad ]]*0.25</f>
        <v>0.25</v>
      </c>
    </row>
    <row r="683" customFormat="false" ht="15.75" hidden="true" customHeight="false" outlineLevel="0" collapsed="false">
      <c r="A683" s="24" t="s">
        <v>236</v>
      </c>
      <c r="B683" s="23" t="n">
        <v>44072</v>
      </c>
      <c r="C683" s="7" t="s">
        <v>26</v>
      </c>
      <c r="D683" s="24" t="str">
        <f aca="false">VLOOKUP(SALIDAS[[Código Producto ]],PRODUCTOS[],2,0)</f>
        <v>Chorizo Oxford x 10 unidades 250g</v>
      </c>
      <c r="E683" s="24" t="n">
        <v>1</v>
      </c>
      <c r="F683" s="0" t="n">
        <f aca="false">SALIDAS[[#This Row],[Cantidad ]]*0.25</f>
        <v>0.25</v>
      </c>
    </row>
    <row r="684" customFormat="false" ht="15.75" hidden="true" customHeight="false" outlineLevel="0" collapsed="false">
      <c r="A684" s="24" t="s">
        <v>236</v>
      </c>
      <c r="B684" s="23" t="n">
        <v>44072</v>
      </c>
      <c r="C684" s="7" t="s">
        <v>18</v>
      </c>
      <c r="D684" s="24" t="str">
        <f aca="false">VLOOKUP(SALIDAS[[Código Producto ]],PRODUCTOS[],2,0)</f>
        <v>Chorizo finas hierbas x 10 unidades 250g</v>
      </c>
      <c r="E684" s="24" t="n">
        <v>1</v>
      </c>
      <c r="F684" s="0" t="n">
        <f aca="false">SALIDAS[[#This Row],[Cantidad ]]*0.25</f>
        <v>0.25</v>
      </c>
    </row>
    <row r="685" customFormat="false" ht="15.75" hidden="false" customHeight="false" outlineLevel="0" collapsed="false">
      <c r="A685" s="24" t="s">
        <v>237</v>
      </c>
      <c r="B685" s="23" t="n">
        <v>44072</v>
      </c>
      <c r="C685" s="7" t="s">
        <v>32</v>
      </c>
      <c r="D685" s="24" t="str">
        <f aca="false">VLOOKUP(SALIDAS[[Código Producto ]],PRODUCTOS[],2,0)</f>
        <v>Chorizo Sweet Spicy 400g</v>
      </c>
      <c r="E685" s="24" t="n">
        <v>1</v>
      </c>
      <c r="F685" s="0" t="n">
        <f aca="false">SALIDAS[[#This Row],[Cantidad ]]*0.4</f>
        <v>0.4</v>
      </c>
    </row>
    <row r="686" customFormat="false" ht="15.75" hidden="false" customHeight="false" outlineLevel="0" collapsed="false">
      <c r="A686" s="24" t="s">
        <v>237</v>
      </c>
      <c r="B686" s="23" t="n">
        <v>44072</v>
      </c>
      <c r="C686" s="7" t="s">
        <v>34</v>
      </c>
      <c r="D686" s="24" t="str">
        <f aca="false">VLOOKUP(SALIDAS[[Código Producto ]],PRODUCTOS[],2,0)</f>
        <v>Chorizo Sweet Spicy 600g</v>
      </c>
      <c r="E686" s="24" t="n">
        <v>1</v>
      </c>
      <c r="F686" s="0" t="n">
        <f aca="false">SALIDAS[[#This Row],[Cantidad ]]*0.6</f>
        <v>0.6</v>
      </c>
    </row>
    <row r="687" customFormat="false" ht="15.75" hidden="true" customHeight="false" outlineLevel="0" collapsed="false">
      <c r="A687" s="24" t="s">
        <v>206</v>
      </c>
      <c r="B687" s="23" t="n">
        <v>44072</v>
      </c>
      <c r="C687" s="7" t="s">
        <v>131</v>
      </c>
      <c r="D687" s="24" t="str">
        <f aca="false">VLOOKUP(SALIDAS[[Código Producto ]],PRODUCTOS[],2,0)</f>
        <v>Jamon tata x 250 gr</v>
      </c>
      <c r="E687" s="24" t="n">
        <v>1</v>
      </c>
      <c r="F687" s="0" t="n">
        <f aca="false">SALIDAS[[#This Row],[Cantidad ]]*0.25</f>
        <v>0.25</v>
      </c>
    </row>
    <row r="688" customFormat="false" ht="15.75" hidden="true" customHeight="false" outlineLevel="0" collapsed="false">
      <c r="A688" s="24" t="s">
        <v>206</v>
      </c>
      <c r="B688" s="23" t="n">
        <v>44072</v>
      </c>
      <c r="C688" s="7" t="s">
        <v>139</v>
      </c>
      <c r="D688" s="24" t="str">
        <f aca="false">VLOOKUP(SALIDAS[[Código Producto ]],PRODUCTOS[],2,0)</f>
        <v>Jamon La nonna x 250g</v>
      </c>
      <c r="E688" s="24" t="n">
        <v>1</v>
      </c>
      <c r="F688" s="0" t="n">
        <f aca="false">SALIDAS[[#This Row],[Cantidad ]]*0.25</f>
        <v>0.25</v>
      </c>
    </row>
    <row r="689" customFormat="false" ht="15.75" hidden="false" customHeight="false" outlineLevel="0" collapsed="false">
      <c r="A689" s="24" t="s">
        <v>177</v>
      </c>
      <c r="B689" s="23" t="n">
        <v>44072</v>
      </c>
      <c r="C689" s="7" t="s">
        <v>75</v>
      </c>
      <c r="D689" s="24" t="str">
        <f aca="false">VLOOKUP(SALIDAS[[Código Producto ]],PRODUCTOS[],2,0)</f>
        <v>Jamon Ingles x 250g</v>
      </c>
      <c r="E689" s="24" t="n">
        <v>2</v>
      </c>
      <c r="F689" s="0" t="n">
        <f aca="false">SALIDAS[[#This Row],[Cantidad ]]*0.25</f>
        <v>0.5</v>
      </c>
    </row>
    <row r="690" customFormat="false" ht="15.75" hidden="false" customHeight="false" outlineLevel="0" collapsed="false">
      <c r="A690" s="24" t="s">
        <v>177</v>
      </c>
      <c r="B690" s="23" t="n">
        <v>44072</v>
      </c>
      <c r="C690" s="7" t="s">
        <v>139</v>
      </c>
      <c r="D690" s="24" t="str">
        <f aca="false">VLOOKUP(SALIDAS[[Código Producto ]],PRODUCTOS[],2,0)</f>
        <v>Jamon La nonna x 250g</v>
      </c>
      <c r="E690" s="24" t="n">
        <v>2</v>
      </c>
      <c r="F690" s="0" t="n">
        <f aca="false">SALIDAS[[#This Row],[Cantidad ]]*0.25</f>
        <v>0.5</v>
      </c>
    </row>
    <row r="691" customFormat="false" ht="15.75" hidden="false" customHeight="false" outlineLevel="0" collapsed="false">
      <c r="A691" s="24" t="s">
        <v>156</v>
      </c>
      <c r="B691" s="23" t="n">
        <v>44074</v>
      </c>
      <c r="C691" s="7" t="s">
        <v>83</v>
      </c>
      <c r="D691" s="24" t="str">
        <f aca="false">VLOOKUP(SALIDAS[[Código Producto ]],PRODUCTOS[],2,0)</f>
        <v>Jamon Pizza x 500g</v>
      </c>
      <c r="E691" s="24" t="n">
        <v>13</v>
      </c>
      <c r="F691" s="0" t="n">
        <f aca="false">SALIDAS[[#This Row],[Cantidad ]]*0.5</f>
        <v>6.5</v>
      </c>
    </row>
    <row r="692" customFormat="false" ht="15.75" hidden="false" customHeight="false" outlineLevel="0" collapsed="false">
      <c r="A692" s="24" t="s">
        <v>156</v>
      </c>
      <c r="B692" s="23" t="n">
        <v>44074</v>
      </c>
      <c r="C692" s="7" t="s">
        <v>117</v>
      </c>
      <c r="D692" s="24" t="str">
        <f aca="false">VLOOKUP(SALIDAS[[Código Producto ]],PRODUCTOS[],2,0)</f>
        <v>Tocino Ahumado Redondo  x 200g (ROJO)</v>
      </c>
      <c r="E692" s="24" t="n">
        <v>30</v>
      </c>
      <c r="F692" s="0" t="n">
        <f aca="false">SALIDAS[[#This Row],[Cantidad ]]*0.2</f>
        <v>6</v>
      </c>
    </row>
    <row r="693" customFormat="false" ht="15.75" hidden="false" customHeight="false" outlineLevel="0" collapsed="false">
      <c r="A693" s="24" t="s">
        <v>156</v>
      </c>
      <c r="B693" s="23" t="n">
        <v>44074</v>
      </c>
      <c r="C693" s="7" t="s">
        <v>121</v>
      </c>
      <c r="D693" s="24" t="str">
        <f aca="false">VLOOKUP(SALIDAS[[Código Producto ]],PRODUCTOS[],2,0)</f>
        <v>Tocino ahumado Redondo x 500g (ROJO)</v>
      </c>
      <c r="E693" s="24" t="n">
        <v>8</v>
      </c>
      <c r="F693" s="0" t="n">
        <f aca="false">SALIDAS[[#This Row],[Cantidad ]]*0.5</f>
        <v>4</v>
      </c>
    </row>
    <row r="694" customFormat="false" ht="15.75" hidden="false" customHeight="false" outlineLevel="0" collapsed="false">
      <c r="A694" s="24" t="s">
        <v>156</v>
      </c>
      <c r="B694" s="23" t="n">
        <v>44074</v>
      </c>
      <c r="C694" s="7" t="s">
        <v>69</v>
      </c>
      <c r="D694" s="24" t="str">
        <f aca="false">VLOOKUP(SALIDAS[[Código Producto ]],PRODUCTOS[],2,0)</f>
        <v>Jamon del país artesanal 250g</v>
      </c>
      <c r="E694" s="24" t="n">
        <v>12</v>
      </c>
      <c r="F694" s="0" t="n">
        <f aca="false">SALIDAS[[#This Row],[Cantidad ]]*0.25</f>
        <v>3</v>
      </c>
    </row>
    <row r="695" customFormat="false" ht="15.75" hidden="false" customHeight="false" outlineLevel="0" collapsed="false">
      <c r="A695" s="24" t="s">
        <v>156</v>
      </c>
      <c r="B695" s="23" t="n">
        <v>44074</v>
      </c>
      <c r="C695" s="7" t="s">
        <v>125</v>
      </c>
      <c r="D695" s="24" t="str">
        <f aca="false">VLOOKUP(SALIDAS[[Código Producto ]],PRODUCTOS[],2,0)</f>
        <v>Vienesa x 5 unidades X 250g</v>
      </c>
      <c r="E695" s="24" t="n">
        <v>12</v>
      </c>
      <c r="F695" s="0" t="n">
        <f aca="false">SALIDAS[[#This Row],[Cantidad ]]*0.25</f>
        <v>3</v>
      </c>
    </row>
    <row r="696" customFormat="false" ht="15.75" hidden="false" customHeight="false" outlineLevel="0" collapsed="false">
      <c r="A696" s="24" t="s">
        <v>156</v>
      </c>
      <c r="B696" s="23" t="n">
        <v>44074</v>
      </c>
      <c r="C696" s="7" t="s">
        <v>26</v>
      </c>
      <c r="D696" s="24" t="str">
        <f aca="false">VLOOKUP(SALIDAS[[Código Producto ]],PRODUCTOS[],2,0)</f>
        <v>Chorizo Oxford x 10 unidades 250g</v>
      </c>
      <c r="E696" s="24" t="n">
        <v>8</v>
      </c>
      <c r="F696" s="0" t="n">
        <f aca="false">SALIDAS[[#This Row],[Cantidad ]]*0.25</f>
        <v>2</v>
      </c>
    </row>
    <row r="697" customFormat="false" ht="15.75" hidden="false" customHeight="false" outlineLevel="0" collapsed="false">
      <c r="A697" s="24" t="s">
        <v>156</v>
      </c>
      <c r="B697" s="23" t="n">
        <v>44074</v>
      </c>
      <c r="C697" s="7" t="s">
        <v>75</v>
      </c>
      <c r="D697" s="24" t="str">
        <f aca="false">VLOOKUP(SALIDAS[[Código Producto ]],PRODUCTOS[],2,0)</f>
        <v>Jamon Ingles x 250g</v>
      </c>
      <c r="E697" s="24" t="n">
        <v>12</v>
      </c>
      <c r="F697" s="0" t="n">
        <f aca="false">SALIDAS[[#This Row],[Cantidad ]]*0.25</f>
        <v>3</v>
      </c>
    </row>
    <row r="698" customFormat="false" ht="15.75" hidden="false" customHeight="false" outlineLevel="0" collapsed="false">
      <c r="A698" s="24" t="s">
        <v>156</v>
      </c>
      <c r="B698" s="23" t="n">
        <v>44074</v>
      </c>
      <c r="C698" s="7" t="s">
        <v>97</v>
      </c>
      <c r="D698" s="24" t="str">
        <f aca="false">VLOOKUP(SALIDAS[[Código Producto ]],PRODUCTOS[],2,0)</f>
        <v>Morcilla Granel x3</v>
      </c>
      <c r="E698" s="24" t="n">
        <v>10</v>
      </c>
      <c r="F698" s="0" t="n">
        <f aca="false">SALIDAS[[#This Row],[Cantidad ]]*0.24</f>
        <v>2.4</v>
      </c>
    </row>
    <row r="699" customFormat="false" ht="15.75" hidden="false" customHeight="false" outlineLevel="0" collapsed="false">
      <c r="A699" s="24" t="s">
        <v>156</v>
      </c>
      <c r="B699" s="23" t="n">
        <v>44074</v>
      </c>
      <c r="C699" s="7" t="s">
        <v>14</v>
      </c>
      <c r="D699" s="24" t="str">
        <f aca="false">VLOOKUP(SALIDAS[[Código Producto ]],PRODUCTOS[],2,0)</f>
        <v>Chistorra Huachana x 6 unidades 150g</v>
      </c>
      <c r="E699" s="24" t="n">
        <v>4</v>
      </c>
      <c r="F699" s="0" t="n">
        <f aca="false">SALIDAS[[#This Row],[Cantidad ]]*0.15</f>
        <v>0.6</v>
      </c>
    </row>
    <row r="700" customFormat="false" ht="15.75" hidden="false" customHeight="false" outlineLevel="0" collapsed="false">
      <c r="A700" s="24" t="s">
        <v>156</v>
      </c>
      <c r="B700" s="23" t="n">
        <v>44074</v>
      </c>
      <c r="C700" s="7" t="s">
        <v>22</v>
      </c>
      <c r="D700" s="24" t="str">
        <f aca="false">VLOOKUP(SALIDAS[[Código Producto ]],PRODUCTOS[],2,0)</f>
        <v>Chorizo finas hierbas x 6 unidades 600g</v>
      </c>
      <c r="E700" s="24" t="n">
        <v>6</v>
      </c>
      <c r="F700" s="0" t="n">
        <f aca="false">SALIDAS[[#This Row],[Cantidad ]]*0.6</f>
        <v>3.6</v>
      </c>
    </row>
    <row r="701" customFormat="false" ht="15.75" hidden="false" customHeight="false" outlineLevel="0" collapsed="false">
      <c r="A701" s="24" t="s">
        <v>238</v>
      </c>
      <c r="B701" s="23" t="n">
        <v>44074</v>
      </c>
      <c r="C701" s="7" t="s">
        <v>22</v>
      </c>
      <c r="D701" s="24" t="str">
        <f aca="false">VLOOKUP(SALIDAS[[Código Producto ]],PRODUCTOS[],2,0)</f>
        <v>Chorizo finas hierbas x 6 unidades 600g</v>
      </c>
      <c r="E701" s="24" t="n">
        <v>1</v>
      </c>
      <c r="F701" s="0" t="n">
        <f aca="false">SALIDAS[[#This Row],[Cantidad ]]*0.6</f>
        <v>0.6</v>
      </c>
    </row>
    <row r="702" customFormat="false" ht="15.75" hidden="false" customHeight="false" outlineLevel="0" collapsed="false">
      <c r="A702" s="24" t="s">
        <v>238</v>
      </c>
      <c r="B702" s="23" t="n">
        <v>44074</v>
      </c>
      <c r="C702" s="7" t="s">
        <v>30</v>
      </c>
      <c r="D702" s="24" t="str">
        <f aca="false">VLOOKUP(SALIDAS[[Código Producto ]],PRODUCTOS[],2,0)</f>
        <v>Chorizo Oxford x 6 unidades 600g</v>
      </c>
      <c r="E702" s="24" t="n">
        <v>1</v>
      </c>
      <c r="F702" s="0" t="n">
        <f aca="false">SALIDAS[[#This Row],[Cantidad ]]*0.6</f>
        <v>0.6</v>
      </c>
    </row>
    <row r="703" customFormat="false" ht="15.75" hidden="false" customHeight="false" outlineLevel="0" collapsed="false">
      <c r="A703" s="24" t="s">
        <v>238</v>
      </c>
      <c r="B703" s="23" t="n">
        <v>44074</v>
      </c>
      <c r="C703" s="7" t="s">
        <v>8</v>
      </c>
      <c r="D703" s="24" t="str">
        <f aca="false">VLOOKUP(SALIDAS[[Código Producto ]],PRODUCTOS[],2,0)</f>
        <v>Bratwurst x 4 unidades 320g </v>
      </c>
      <c r="E703" s="24" t="n">
        <v>1</v>
      </c>
      <c r="F703" s="0" t="n">
        <f aca="false">SALIDAS[[#This Row],[Cantidad ]]*0.32</f>
        <v>0.32</v>
      </c>
    </row>
    <row r="704" customFormat="false" ht="15.75" hidden="false" customHeight="false" outlineLevel="0" collapsed="false">
      <c r="A704" s="24" t="s">
        <v>238</v>
      </c>
      <c r="B704" s="23" t="n">
        <v>44074</v>
      </c>
      <c r="C704" s="7" t="s">
        <v>117</v>
      </c>
      <c r="D704" s="24" t="str">
        <f aca="false">VLOOKUP(SALIDAS[[Código Producto ]],PRODUCTOS[],2,0)</f>
        <v>Tocino Ahumado Redondo  x 200g (ROJO)</v>
      </c>
      <c r="E704" s="24" t="n">
        <v>2</v>
      </c>
      <c r="F704" s="0" t="n">
        <f aca="false">SALIDAS[[#This Row],[Cantidad ]]*0.2</f>
        <v>0.4</v>
      </c>
    </row>
    <row r="705" customFormat="false" ht="15.75" hidden="false" customHeight="false" outlineLevel="0" collapsed="false">
      <c r="A705" s="24" t="s">
        <v>238</v>
      </c>
      <c r="B705" s="23" t="n">
        <v>44074</v>
      </c>
      <c r="C705" s="7" t="s">
        <v>47</v>
      </c>
      <c r="D705" s="24" t="str">
        <f aca="false">VLOOKUP(SALIDAS[[Código Producto ]],PRODUCTOS[],2,0)</f>
        <v>Frankfurter granel x 4 unidades 250g</v>
      </c>
      <c r="E705" s="24" t="n">
        <v>2</v>
      </c>
      <c r="F705" s="0" t="n">
        <f aca="false">SALIDAS[[#This Row],[Cantidad ]]*0.24</f>
        <v>0.48</v>
      </c>
    </row>
    <row r="706" customFormat="false" ht="15.75" hidden="true" customHeight="false" outlineLevel="0" collapsed="false">
      <c r="A706" s="24" t="s">
        <v>239</v>
      </c>
      <c r="B706" s="23" t="n">
        <v>44074</v>
      </c>
      <c r="C706" s="7" t="s">
        <v>32</v>
      </c>
      <c r="D706" s="24" t="str">
        <f aca="false">VLOOKUP(SALIDAS[[Código Producto ]],PRODUCTOS[],2,0)</f>
        <v>Chorizo Sweet Spicy 400g</v>
      </c>
      <c r="E706" s="24" t="n">
        <v>1</v>
      </c>
      <c r="F706" s="0" t="n">
        <f aca="false">SALIDAS[[#This Row],[Cantidad ]]*0.4</f>
        <v>0.4</v>
      </c>
    </row>
    <row r="707" customFormat="false" ht="15.75" hidden="true" customHeight="false" outlineLevel="0" collapsed="false">
      <c r="A707" s="24" t="s">
        <v>239</v>
      </c>
      <c r="B707" s="23" t="n">
        <v>44074</v>
      </c>
      <c r="C707" s="7" t="s">
        <v>41</v>
      </c>
      <c r="D707" s="24" t="str">
        <f aca="false">VLOOKUP(SALIDAS[[Código Producto ]],PRODUCTOS[],2,0)</f>
        <v>Frankfurter cocktail x 10 unidades x 250g</v>
      </c>
      <c r="E707" s="24" t="n">
        <v>2</v>
      </c>
      <c r="F707" s="0" t="n">
        <f aca="false">SALIDAS[[#This Row],[Cantidad ]]*0.25</f>
        <v>0.5</v>
      </c>
    </row>
    <row r="708" customFormat="false" ht="15.75" hidden="false" customHeight="false" outlineLevel="0" collapsed="false">
      <c r="A708" s="24" t="s">
        <v>240</v>
      </c>
      <c r="B708" s="23" t="n">
        <v>44074</v>
      </c>
      <c r="C708" s="7" t="s">
        <v>143</v>
      </c>
      <c r="D708" s="24" t="str">
        <f aca="false">VLOOKUP(SALIDAS[[Código Producto ]],PRODUCTOS[],2,0)</f>
        <v>Jamon la nonna entero</v>
      </c>
      <c r="E708" s="24" t="n">
        <v>5.59</v>
      </c>
      <c r="F708" s="0" t="n">
        <f aca="false">SALIDAS[[#This Row],[Cantidad ]]</f>
        <v>5.59</v>
      </c>
    </row>
    <row r="709" customFormat="false" ht="15.75" hidden="true" customHeight="false" outlineLevel="0" collapsed="false">
      <c r="A709" s="24" t="s">
        <v>241</v>
      </c>
      <c r="B709" s="23" t="n">
        <v>44074</v>
      </c>
      <c r="C709" s="7" t="s">
        <v>8</v>
      </c>
      <c r="D709" s="24" t="str">
        <f aca="false">VLOOKUP(SALIDAS[[Código Producto ]],PRODUCTOS[],2,0)</f>
        <v>Bratwurst x 4 unidades 320g </v>
      </c>
      <c r="E709" s="24" t="n">
        <v>1</v>
      </c>
      <c r="F709" s="0" t="n">
        <f aca="false">SALIDAS[[#This Row],[Cantidad ]]*0.32</f>
        <v>0.32</v>
      </c>
    </row>
    <row r="710" customFormat="false" ht="15.75" hidden="true" customHeight="false" outlineLevel="0" collapsed="false">
      <c r="A710" s="24" t="s">
        <v>241</v>
      </c>
      <c r="B710" s="23" t="n">
        <v>44074</v>
      </c>
      <c r="C710" s="7" t="s">
        <v>117</v>
      </c>
      <c r="D710" s="24" t="str">
        <f aca="false">VLOOKUP(SALIDAS[[Código Producto ]],PRODUCTOS[],2,0)</f>
        <v>Tocino Ahumado Redondo  x 200g (ROJO)</v>
      </c>
      <c r="E710" s="24" t="n">
        <v>1</v>
      </c>
      <c r="F710" s="0" t="n">
        <f aca="false">SALIDAS[[#This Row],[Cantidad ]]*0.2</f>
        <v>0.2</v>
      </c>
    </row>
    <row r="711" customFormat="false" ht="15.75" hidden="true" customHeight="false" outlineLevel="0" collapsed="false">
      <c r="A711" s="24" t="s">
        <v>241</v>
      </c>
      <c r="B711" s="23" t="n">
        <v>44074</v>
      </c>
      <c r="C711" s="7" t="s">
        <v>83</v>
      </c>
      <c r="D711" s="24" t="str">
        <f aca="false">VLOOKUP(SALIDAS[[Código Producto ]],PRODUCTOS[],2,0)</f>
        <v>Jamon Pizza x 500g</v>
      </c>
      <c r="E711" s="24" t="n">
        <v>1</v>
      </c>
      <c r="F711" s="0" t="n">
        <f aca="false">SALIDAS[[#This Row],[Cantidad ]]*0.5</f>
        <v>0.5</v>
      </c>
    </row>
    <row r="712" customFormat="false" ht="15.75" hidden="false" customHeight="false" outlineLevel="0" collapsed="false">
      <c r="A712" s="24"/>
      <c r="B712" s="23"/>
      <c r="C712" s="7"/>
      <c r="D712" s="24" t="e">
        <f aca="false">VLOOKUP(SALIDAS[[Código Producto ]],PRODUCTOS[],2,0)</f>
        <v>#N/A</v>
      </c>
      <c r="E712" s="24"/>
    </row>
    <row r="713" customFormat="false" ht="15.75" hidden="false" customHeight="false" outlineLevel="0" collapsed="false">
      <c r="A713" s="24"/>
      <c r="B713" s="23"/>
      <c r="C713" s="7"/>
      <c r="D713" s="24" t="e">
        <f aca="false">VLOOKUP(SALIDAS[[Código Producto ]],PRODUCTOS[],2,0)</f>
        <v>#N/A</v>
      </c>
      <c r="E713" s="24"/>
    </row>
    <row r="714" customFormat="false" ht="15.75" hidden="false" customHeight="false" outlineLevel="0" collapsed="false">
      <c r="A714" s="24"/>
      <c r="B714" s="23"/>
      <c r="C714" s="7"/>
      <c r="D714" s="24" t="e">
        <f aca="false">VLOOKUP(SALIDAS[[Código Producto ]],PRODUCTOS[],2,0)</f>
        <v>#N/A</v>
      </c>
      <c r="E714" s="24"/>
    </row>
    <row r="715" customFormat="false" ht="15.75" hidden="false" customHeight="false" outlineLevel="0" collapsed="false">
      <c r="A715" s="24"/>
      <c r="B715" s="23"/>
      <c r="C715" s="7"/>
      <c r="D715" s="24" t="e">
        <f aca="false">VLOOKUP(SALIDAS[[Código Producto ]],PRODUCTOS[],2,0)</f>
        <v>#N/A</v>
      </c>
      <c r="E715" s="24"/>
    </row>
    <row r="716" customFormat="false" ht="15.75" hidden="false" customHeight="false" outlineLevel="0" collapsed="false">
      <c r="A716" s="24"/>
      <c r="B716" s="23"/>
      <c r="C716" s="7"/>
      <c r="D716" s="24" t="e">
        <f aca="false">VLOOKUP(SALIDAS[[Código Producto ]],PRODUCTOS[],2,0)</f>
        <v>#N/A</v>
      </c>
      <c r="E716" s="24"/>
    </row>
    <row r="717" customFormat="false" ht="15.75" hidden="false" customHeight="false" outlineLevel="0" collapsed="false">
      <c r="A717" s="24"/>
      <c r="B717" s="23"/>
      <c r="C717" s="7"/>
      <c r="D717" s="24" t="e">
        <f aca="false">VLOOKUP(SALIDAS[[Código Producto ]],PRODUCTOS[],2,0)</f>
        <v>#N/A</v>
      </c>
      <c r="E717" s="24"/>
    </row>
    <row r="718" customFormat="false" ht="15.75" hidden="false" customHeight="false" outlineLevel="0" collapsed="false">
      <c r="A718" s="24"/>
      <c r="B718" s="23"/>
      <c r="C718" s="7"/>
      <c r="D718" s="24" t="e">
        <f aca="false">VLOOKUP(SALIDAS[[Código Producto ]],PRODUCTOS[],2,0)</f>
        <v>#N/A</v>
      </c>
      <c r="E718" s="24"/>
    </row>
    <row r="719" customFormat="false" ht="15.75" hidden="false" customHeight="false" outlineLevel="0" collapsed="false">
      <c r="A719" s="24"/>
      <c r="B719" s="23"/>
      <c r="C719" s="7"/>
      <c r="D719" s="24" t="e">
        <f aca="false">VLOOKUP(SALIDAS[[Código Producto ]],PRODUCTOS[],2,0)</f>
        <v>#N/A</v>
      </c>
      <c r="E719" s="24"/>
    </row>
    <row r="720" customFormat="false" ht="15.75" hidden="false" customHeight="false" outlineLevel="0" collapsed="false">
      <c r="A720" s="24"/>
      <c r="B720" s="23"/>
      <c r="C720" s="7"/>
      <c r="D720" s="24" t="e">
        <f aca="false">VLOOKUP(SALIDAS[[Código Producto ]],PRODUCTOS[],2,0)</f>
        <v>#N/A</v>
      </c>
      <c r="E720" s="24"/>
    </row>
    <row r="721" customFormat="false" ht="15.75" hidden="false" customHeight="false" outlineLevel="0" collapsed="false">
      <c r="A721" s="24"/>
      <c r="B721" s="23"/>
      <c r="C721" s="7"/>
      <c r="D721" s="24" t="e">
        <f aca="false">VLOOKUP(SALIDAS[[Código Producto ]],PRODUCTOS[],2,0)</f>
        <v>#N/A</v>
      </c>
      <c r="E721" s="24"/>
    </row>
    <row r="722" customFormat="false" ht="15.75" hidden="false" customHeight="false" outlineLevel="0" collapsed="false">
      <c r="A722" s="24"/>
      <c r="B722" s="23"/>
      <c r="C722" s="7"/>
      <c r="D722" s="24" t="e">
        <f aca="false">VLOOKUP(SALIDAS[[Código Producto ]],PRODUCTOS[],2,0)</f>
        <v>#N/A</v>
      </c>
      <c r="E722" s="24"/>
    </row>
    <row r="723" customFormat="false" ht="15.75" hidden="false" customHeight="false" outlineLevel="0" collapsed="false">
      <c r="A723" s="24"/>
      <c r="B723" s="23"/>
      <c r="C723" s="7"/>
      <c r="D723" s="24" t="e">
        <f aca="false">VLOOKUP(SALIDAS[[Código Producto ]],PRODUCTOS[],2,0)</f>
        <v>#N/A</v>
      </c>
      <c r="E723" s="24"/>
    </row>
    <row r="724" customFormat="false" ht="15.75" hidden="false" customHeight="false" outlineLevel="0" collapsed="false">
      <c r="A724" s="24"/>
      <c r="B724" s="23"/>
      <c r="C724" s="7"/>
      <c r="D724" s="24" t="e">
        <f aca="false">VLOOKUP(SALIDAS[[Código Producto ]],PRODUCTOS[],2,0)</f>
        <v>#N/A</v>
      </c>
      <c r="E724" s="24"/>
    </row>
    <row r="725" customFormat="false" ht="15.75" hidden="false" customHeight="false" outlineLevel="0" collapsed="false">
      <c r="A725" s="24"/>
      <c r="B725" s="23"/>
      <c r="C725" s="7"/>
      <c r="D725" s="24" t="e">
        <f aca="false">VLOOKUP(SALIDAS[[Código Producto ]],PRODUCTOS[],2,0)</f>
        <v>#N/A</v>
      </c>
      <c r="E725" s="24"/>
    </row>
    <row r="726" customFormat="false" ht="15.75" hidden="false" customHeight="false" outlineLevel="0" collapsed="false">
      <c r="A726" s="24"/>
      <c r="B726" s="23"/>
      <c r="C726" s="7"/>
      <c r="D726" s="24" t="e">
        <f aca="false">VLOOKUP(SALIDAS[[Código Producto ]],PRODUCTOS[],2,0)</f>
        <v>#N/A</v>
      </c>
      <c r="E726" s="24"/>
    </row>
    <row r="727" customFormat="false" ht="15.75" hidden="false" customHeight="false" outlineLevel="0" collapsed="false">
      <c r="A727" s="24"/>
      <c r="B727" s="23"/>
      <c r="C727" s="7"/>
      <c r="D727" s="24" t="e">
        <f aca="false">VLOOKUP(SALIDAS[[Código Producto ]],PRODUCTOS[],2,0)</f>
        <v>#N/A</v>
      </c>
      <c r="E727" s="24"/>
    </row>
    <row r="728" customFormat="false" ht="15.75" hidden="false" customHeight="false" outlineLevel="0" collapsed="false">
      <c r="A728" s="24"/>
      <c r="B728" s="23"/>
      <c r="C728" s="7"/>
      <c r="D728" s="24" t="e">
        <f aca="false">VLOOKUP(SALIDAS[[Código Producto ]],PRODUCTOS[],2,0)</f>
        <v>#N/A</v>
      </c>
      <c r="E728" s="24"/>
    </row>
    <row r="729" customFormat="false" ht="15.75" hidden="false" customHeight="false" outlineLevel="0" collapsed="false">
      <c r="A729" s="24"/>
      <c r="B729" s="23"/>
      <c r="C729" s="7"/>
      <c r="D729" s="24" t="e">
        <f aca="false">VLOOKUP(SALIDAS[[Código Producto ]],PRODUCTOS[],2,0)</f>
        <v>#N/A</v>
      </c>
      <c r="E729" s="24"/>
    </row>
    <row r="730" customFormat="false" ht="15.75" hidden="false" customHeight="false" outlineLevel="0" collapsed="false">
      <c r="A730" s="22"/>
      <c r="B730" s="23"/>
      <c r="C730" s="7"/>
      <c r="D730" s="24" t="e">
        <f aca="false">VLOOKUP(SALIDAS[[Código Producto ]],PRODUCTOS[],2,0)</f>
        <v>#N/A</v>
      </c>
      <c r="E730" s="24"/>
    </row>
    <row r="731" customFormat="false" ht="15.75" hidden="false" customHeight="false" outlineLevel="0" collapsed="false">
      <c r="A731" s="22"/>
      <c r="B731" s="23"/>
      <c r="C731" s="7"/>
      <c r="D731" s="24" t="e">
        <f aca="false">VLOOKUP(SALIDAS[[Código Producto ]],PRODUCTOS[],2,0)</f>
        <v>#N/A</v>
      </c>
      <c r="E731" s="24"/>
    </row>
    <row r="732" customFormat="false" ht="15.75" hidden="false" customHeight="false" outlineLevel="0" collapsed="false">
      <c r="A732" s="24"/>
      <c r="B732" s="23"/>
      <c r="C732" s="7"/>
      <c r="D732" s="24" t="e">
        <f aca="false">VLOOKUP(SALIDAS[[Código Producto ]],PRODUCTOS[],2,0)</f>
        <v>#N/A</v>
      </c>
      <c r="E732" s="24"/>
    </row>
    <row r="733" customFormat="false" ht="15.75" hidden="false" customHeight="false" outlineLevel="0" collapsed="false">
      <c r="A733" s="24"/>
      <c r="B733" s="23"/>
      <c r="C733" s="7"/>
      <c r="D733" s="24" t="e">
        <f aca="false">VLOOKUP(SALIDAS[[Código Producto ]],PRODUCTOS[],2,0)</f>
        <v>#N/A</v>
      </c>
      <c r="E733" s="24"/>
    </row>
    <row r="734" customFormat="false" ht="15.75" hidden="false" customHeight="false" outlineLevel="0" collapsed="false">
      <c r="A734" s="24"/>
      <c r="B734" s="23"/>
      <c r="C734" s="7"/>
      <c r="D734" s="24" t="e">
        <f aca="false">VLOOKUP(SALIDAS[[Código Producto ]],PRODUCTOS[],2,0)</f>
        <v>#N/A</v>
      </c>
      <c r="E734" s="24"/>
    </row>
    <row r="735" customFormat="false" ht="15.75" hidden="false" customHeight="false" outlineLevel="0" collapsed="false">
      <c r="A735" s="24"/>
      <c r="B735" s="23"/>
      <c r="C735" s="7"/>
      <c r="D735" s="24" t="e">
        <f aca="false">VLOOKUP(SALIDAS[[Código Producto ]],PRODUCTOS[],2,0)</f>
        <v>#N/A</v>
      </c>
      <c r="E735" s="24"/>
    </row>
    <row r="736" customFormat="false" ht="15.75" hidden="false" customHeight="false" outlineLevel="0" collapsed="false">
      <c r="A736" s="24"/>
      <c r="B736" s="23"/>
      <c r="C736" s="7"/>
      <c r="D736" s="24" t="e">
        <f aca="false">VLOOKUP(SALIDAS[[Código Producto ]],PRODUCTOS[],2,0)</f>
        <v>#N/A</v>
      </c>
      <c r="E736" s="24"/>
    </row>
    <row r="737" customFormat="false" ht="15.75" hidden="false" customHeight="false" outlineLevel="0" collapsed="false">
      <c r="A737" s="24"/>
      <c r="B737" s="23"/>
      <c r="C737" s="7"/>
      <c r="D737" s="24" t="e">
        <f aca="false">VLOOKUP(SALIDAS[[Código Producto ]],PRODUCTOS[],2,0)</f>
        <v>#N/A</v>
      </c>
      <c r="E737" s="24"/>
    </row>
    <row r="738" customFormat="false" ht="15.75" hidden="false" customHeight="false" outlineLevel="0" collapsed="false">
      <c r="A738" s="24"/>
      <c r="B738" s="23"/>
      <c r="C738" s="7"/>
      <c r="D738" s="24" t="e">
        <f aca="false">VLOOKUP(SALIDAS[[Código Producto ]],PRODUCTOS[],2,0)</f>
        <v>#N/A</v>
      </c>
      <c r="E738" s="24"/>
    </row>
    <row r="739" customFormat="false" ht="15.75" hidden="false" customHeight="false" outlineLevel="0" collapsed="false">
      <c r="A739" s="24"/>
      <c r="B739" s="23"/>
      <c r="C739" s="7"/>
      <c r="D739" s="24" t="e">
        <f aca="false">VLOOKUP(SALIDAS[[Código Producto ]],PRODUCTOS[],2,0)</f>
        <v>#N/A</v>
      </c>
      <c r="E739" s="24"/>
    </row>
    <row r="740" customFormat="false" ht="15.75" hidden="false" customHeight="false" outlineLevel="0" collapsed="false">
      <c r="A740" s="24"/>
      <c r="B740" s="23"/>
      <c r="C740" s="7"/>
      <c r="D740" s="24" t="e">
        <f aca="false">VLOOKUP(SALIDAS[[Código Producto ]],PRODUCTOS[],2,0)</f>
        <v>#N/A</v>
      </c>
      <c r="E740" s="24"/>
    </row>
    <row r="741" customFormat="false" ht="15.75" hidden="false" customHeight="false" outlineLevel="0" collapsed="false">
      <c r="A741" s="24"/>
      <c r="B741" s="23"/>
      <c r="C741" s="7"/>
      <c r="D741" s="24" t="e">
        <f aca="false">VLOOKUP(SALIDAS[[Código Producto ]],PRODUCTOS[],2,0)</f>
        <v>#N/A</v>
      </c>
      <c r="E741" s="24"/>
    </row>
    <row r="742" customFormat="false" ht="15.75" hidden="false" customHeight="false" outlineLevel="0" collapsed="false">
      <c r="A742" s="24"/>
      <c r="B742" s="23"/>
      <c r="C742" s="7"/>
      <c r="D742" s="24" t="e">
        <f aca="false">VLOOKUP(SALIDAS[[Código Producto ]],PRODUCTOS[],2,0)</f>
        <v>#N/A</v>
      </c>
      <c r="E742" s="24"/>
    </row>
    <row r="743" customFormat="false" ht="15.75" hidden="false" customHeight="false" outlineLevel="0" collapsed="false">
      <c r="A743" s="24"/>
      <c r="B743" s="23"/>
      <c r="C743" s="7"/>
      <c r="D743" s="24" t="e">
        <f aca="false">VLOOKUP(SALIDAS[[Código Producto ]],PRODUCTOS[],2,0)</f>
        <v>#N/A</v>
      </c>
      <c r="E743" s="24"/>
    </row>
    <row r="744" customFormat="false" ht="15.75" hidden="false" customHeight="false" outlineLevel="0" collapsed="false">
      <c r="A744" s="24"/>
      <c r="B744" s="23"/>
      <c r="C744" s="7"/>
      <c r="D744" s="24" t="e">
        <f aca="false">VLOOKUP(SALIDAS[[Código Producto ]],PRODUCTOS[],2,0)</f>
        <v>#N/A</v>
      </c>
      <c r="E744" s="24"/>
    </row>
    <row r="745" customFormat="false" ht="15.75" hidden="false" customHeight="false" outlineLevel="0" collapsed="false">
      <c r="A745" s="24"/>
      <c r="B745" s="23"/>
      <c r="C745" s="7"/>
      <c r="D745" s="24" t="e">
        <f aca="false">VLOOKUP(SALIDAS[[Código Producto ]],PRODUCTOS[],2,0)</f>
        <v>#N/A</v>
      </c>
      <c r="E745" s="24"/>
    </row>
    <row r="746" customFormat="false" ht="15.75" hidden="false" customHeight="false" outlineLevel="0" collapsed="false">
      <c r="A746" s="24"/>
      <c r="B746" s="23"/>
      <c r="C746" s="7"/>
      <c r="D746" s="24" t="e">
        <f aca="false">VLOOKUP(SALIDAS[[Código Producto ]],PRODUCTOS[],2,0)</f>
        <v>#N/A</v>
      </c>
      <c r="E746" s="24"/>
    </row>
    <row r="747" customFormat="false" ht="15.75" hidden="false" customHeight="false" outlineLevel="0" collapsed="false">
      <c r="A747" s="24"/>
      <c r="B747" s="23"/>
      <c r="C747" s="7"/>
      <c r="D747" s="24" t="e">
        <f aca="false">VLOOKUP(SALIDAS[[Código Producto ]],PRODUCTOS[],2,0)</f>
        <v>#N/A</v>
      </c>
      <c r="E747" s="24"/>
    </row>
    <row r="748" customFormat="false" ht="15" hidden="false" customHeight="false" outlineLevel="0" collapsed="false">
      <c r="A748" s="24"/>
      <c r="B748" s="23"/>
      <c r="C748" s="12"/>
      <c r="D748" s="24" t="e">
        <f aca="false">VLOOKUP(SALIDAS[[Código Producto ]],PRODUCTOS[],2,0)</f>
        <v>#N/A</v>
      </c>
      <c r="E748" s="24"/>
    </row>
    <row r="749" customFormat="false" ht="15.75" hidden="false" customHeight="false" outlineLevel="0" collapsed="false">
      <c r="B749" s="23"/>
      <c r="C749" s="7"/>
    </row>
    <row r="750" customFormat="false" ht="15" hidden="false" customHeight="false" outlineLevel="0" collapsed="false">
      <c r="B750" s="23"/>
    </row>
    <row r="751" customFormat="false" ht="15" hidden="false" customHeight="false" outlineLevel="0" collapsed="false">
      <c r="B751" s="23"/>
    </row>
    <row r="752" customFormat="false" ht="15" hidden="false" customHeight="false" outlineLevel="0" collapsed="false">
      <c r="B752" s="23"/>
    </row>
    <row r="753" customFormat="false" ht="15" hidden="false" customHeight="false" outlineLevel="0" collapsed="false">
      <c r="B753" s="23"/>
    </row>
    <row r="754" customFormat="false" ht="15" hidden="false" customHeight="false" outlineLevel="0" collapsed="false">
      <c r="B754" s="23"/>
    </row>
    <row r="755" customFormat="false" ht="15" hidden="false" customHeight="false" outlineLevel="0" collapsed="false">
      <c r="B755" s="23"/>
    </row>
    <row r="756" customFormat="false" ht="15" hidden="false" customHeight="false" outlineLevel="0" collapsed="false">
      <c r="B756" s="23"/>
    </row>
    <row r="757" customFormat="false" ht="15" hidden="false" customHeight="false" outlineLevel="0" collapsed="false">
      <c r="B757" s="23"/>
    </row>
  </sheetData>
  <mergeCells count="1">
    <mergeCell ref="A4:E4"/>
  </mergeCells>
  <conditionalFormatting sqref="C10 C12:C15 C20 C50">
    <cfRule type="expression" priority="2" aboveAverage="0" equalAverage="0" bottom="0" percent="0" rank="0" text="" dxfId="1">
      <formula>#ref!&lt;=0</formula>
    </cfRule>
  </conditionalFormatting>
  <conditionalFormatting sqref="C416:C431">
    <cfRule type="expression" priority="3" aboveAverage="0" equalAverage="0" bottom="0" percent="0" rank="0" text="" dxfId="2">
      <formula>#ref!&lt;=0</formula>
    </cfRule>
  </conditionalFormatting>
  <conditionalFormatting sqref="C410:C415">
    <cfRule type="expression" priority="4" aboveAverage="0" equalAverage="0" bottom="0" percent="0" rank="0" text="" dxfId="3">
      <formula>#ref!&lt;=0</formula>
    </cfRule>
  </conditionalFormatting>
  <conditionalFormatting sqref="C432:C433">
    <cfRule type="expression" priority="5" aboveAverage="0" equalAverage="0" bottom="0" percent="0" rank="0" text="" dxfId="4">
      <formula>#ref!&lt;=0</formula>
    </cfRule>
  </conditionalFormatting>
  <conditionalFormatting sqref="C434:C439 C444:C448">
    <cfRule type="expression" priority="6" aboveAverage="0" equalAverage="0" bottom="0" percent="0" rank="0" text="" dxfId="5">
      <formula>#ref!&lt;=0</formula>
    </cfRule>
  </conditionalFormatting>
  <conditionalFormatting sqref="C449:C457">
    <cfRule type="expression" priority="7" aboveAverage="0" equalAverage="0" bottom="0" percent="0" rank="0" text="" dxfId="6">
      <formula>#ref!&lt;=0</formula>
    </cfRule>
  </conditionalFormatting>
  <conditionalFormatting sqref="C460">
    <cfRule type="expression" priority="8" aboveAverage="0" equalAverage="0" bottom="0" percent="0" rank="0" text="" dxfId="7">
      <formula>#ref!&lt;=0</formula>
    </cfRule>
  </conditionalFormatting>
  <conditionalFormatting sqref="C461:C467">
    <cfRule type="expression" priority="9" aboveAverage="0" equalAverage="0" bottom="0" percent="0" rank="0" text="" dxfId="8">
      <formula>#ref!&lt;=0</formula>
    </cfRule>
  </conditionalFormatting>
  <conditionalFormatting sqref="C468:C473">
    <cfRule type="expression" priority="10" aboveAverage="0" equalAverage="0" bottom="0" percent="0" rank="0" text="" dxfId="9">
      <formula>#ref!&lt;=0</formula>
    </cfRule>
  </conditionalFormatting>
  <conditionalFormatting sqref="C474">
    <cfRule type="expression" priority="11" aboveAverage="0" equalAverage="0" bottom="0" percent="0" rank="0" text="" dxfId="10">
      <formula>#ref!&lt;=0</formula>
    </cfRule>
  </conditionalFormatting>
  <conditionalFormatting sqref="C475">
    <cfRule type="expression" priority="12" aboveAverage="0" equalAverage="0" bottom="0" percent="0" rank="0" text="" dxfId="11">
      <formula>#ref!&lt;=0</formula>
    </cfRule>
  </conditionalFormatting>
  <conditionalFormatting sqref="C476">
    <cfRule type="expression" priority="13" aboveAverage="0" equalAverage="0" bottom="0" percent="0" rank="0" text="" dxfId="12">
      <formula>#ref!&lt;=0</formula>
    </cfRule>
  </conditionalFormatting>
  <conditionalFormatting sqref="C478 C486">
    <cfRule type="expression" priority="14" aboveAverage="0" equalAverage="0" bottom="0" percent="0" rank="0" text="" dxfId="13">
      <formula>#ref!&lt;=0</formula>
    </cfRule>
  </conditionalFormatting>
  <conditionalFormatting sqref="C479 C487">
    <cfRule type="expression" priority="15" aboveAverage="0" equalAverage="0" bottom="0" percent="0" rank="0" text="" dxfId="14">
      <formula>#ref!&lt;=0</formula>
    </cfRule>
  </conditionalFormatting>
  <conditionalFormatting sqref="C440">
    <cfRule type="expression" priority="16" aboveAverage="0" equalAverage="0" bottom="0" percent="0" rank="0" text="" dxfId="15">
      <formula>#ref!&lt;=0</formula>
    </cfRule>
  </conditionalFormatting>
  <conditionalFormatting sqref="C441:C442">
    <cfRule type="expression" priority="17" aboveAverage="0" equalAverage="0" bottom="0" percent="0" rank="0" text="" dxfId="16">
      <formula>#ref!&lt;=0</formula>
    </cfRule>
  </conditionalFormatting>
  <conditionalFormatting sqref="C443">
    <cfRule type="expression" priority="18" aboveAverage="0" equalAverage="0" bottom="0" percent="0" rank="0" text="" dxfId="17">
      <formula>#ref!&lt;=0</formula>
    </cfRule>
  </conditionalFormatting>
  <conditionalFormatting sqref="C458">
    <cfRule type="expression" priority="19" aboveAverage="0" equalAverage="0" bottom="0" percent="0" rank="0" text="" dxfId="18">
      <formula>#ref!&lt;=0</formula>
    </cfRule>
  </conditionalFormatting>
  <conditionalFormatting sqref="C459">
    <cfRule type="expression" priority="20" aboveAverage="0" equalAverage="0" bottom="0" percent="0" rank="0" text="" dxfId="19">
      <formula>#ref!&lt;=0</formula>
    </cfRule>
  </conditionalFormatting>
  <conditionalFormatting sqref="C480 C488">
    <cfRule type="expression" priority="21" aboveAverage="0" equalAverage="0" bottom="0" percent="0" rank="0" text="" dxfId="20">
      <formula>#ref!&lt;=0</formula>
    </cfRule>
  </conditionalFormatting>
  <conditionalFormatting sqref="C481:C484 C489:C492">
    <cfRule type="expression" priority="22" aboveAverage="0" equalAverage="0" bottom="0" percent="0" rank="0" text="" dxfId="21">
      <formula>#ref!&lt;=0</formula>
    </cfRule>
  </conditionalFormatting>
  <conditionalFormatting sqref="C494">
    <cfRule type="expression" priority="23" aboveAverage="0" equalAverage="0" bottom="0" percent="0" rank="0" text="" dxfId="22">
      <formula>#ref!&lt;=0</formula>
    </cfRule>
  </conditionalFormatting>
  <conditionalFormatting sqref="C495">
    <cfRule type="expression" priority="24" aboveAverage="0" equalAverage="0" bottom="0" percent="0" rank="0" text="" dxfId="23">
      <formula>#ref!&lt;=0</formula>
    </cfRule>
  </conditionalFormatting>
  <conditionalFormatting sqref="C493">
    <cfRule type="expression" priority="25" aboveAverage="0" equalAverage="0" bottom="0" percent="0" rank="0" text="" dxfId="24">
      <formula>#ref!&lt;=0</formula>
    </cfRule>
  </conditionalFormatting>
  <conditionalFormatting sqref="C496">
    <cfRule type="expression" priority="26" aboveAverage="0" equalAverage="0" bottom="0" percent="0" rank="0" text="" dxfId="25">
      <formula>#ref!&lt;=0</formula>
    </cfRule>
  </conditionalFormatting>
  <conditionalFormatting sqref="C497">
    <cfRule type="expression" priority="27" aboveAverage="0" equalAverage="0" bottom="0" percent="0" rank="0" text="" dxfId="26">
      <formula>#ref!&lt;=0</formula>
    </cfRule>
  </conditionalFormatting>
  <conditionalFormatting sqref="C498:C499">
    <cfRule type="expression" priority="28" aboveAverage="0" equalAverage="0" bottom="0" percent="0" rank="0" text="" dxfId="27">
      <formula>#ref!&lt;=0</formula>
    </cfRule>
  </conditionalFormatting>
  <conditionalFormatting sqref="C500:C504 C521:C524">
    <cfRule type="expression" priority="29" aboveAverage="0" equalAverage="0" bottom="0" percent="0" rank="0" text="" dxfId="28">
      <formula>#ref!&lt;=0</formula>
    </cfRule>
  </conditionalFormatting>
  <conditionalFormatting sqref="C505:C512 C545:C552 C525:C532">
    <cfRule type="expression" priority="30" aboveAverage="0" equalAverage="0" bottom="0" percent="0" rank="0" text="" dxfId="29">
      <formula>#ref!&lt;=0</formula>
    </cfRule>
  </conditionalFormatting>
  <conditionalFormatting sqref="C477 C485">
    <cfRule type="expression" priority="31" aboveAverage="0" equalAverage="0" bottom="0" percent="0" rank="0" text="" dxfId="30">
      <formula>#ref!&lt;=0</formula>
    </cfRule>
  </conditionalFormatting>
  <conditionalFormatting sqref="C514 C534">
    <cfRule type="expression" priority="32" aboveAverage="0" equalAverage="0" bottom="0" percent="0" rank="0" text="" dxfId="31">
      <formula>#ref!&lt;=0</formula>
    </cfRule>
  </conditionalFormatting>
  <conditionalFormatting sqref="C513 C533">
    <cfRule type="expression" priority="33" aboveAverage="0" equalAverage="0" bottom="0" percent="0" rank="0" text="" dxfId="32">
      <formula>#ref!&lt;=0</formula>
    </cfRule>
  </conditionalFormatting>
  <conditionalFormatting sqref="C515 C535">
    <cfRule type="expression" priority="34" aboveAverage="0" equalAverage="0" bottom="0" percent="0" rank="0" text="" dxfId="33">
      <formula>#ref!&lt;=0</formula>
    </cfRule>
  </conditionalFormatting>
  <conditionalFormatting sqref="C516:C517 C536:C537">
    <cfRule type="expression" priority="35" aboveAverage="0" equalAverage="0" bottom="0" percent="0" rank="0" text="" dxfId="34">
      <formula>#ref!&lt;=0</formula>
    </cfRule>
  </conditionalFormatting>
  <conditionalFormatting sqref="C518 C538">
    <cfRule type="expression" priority="36" aboveAverage="0" equalAverage="0" bottom="0" percent="0" rank="0" text="" dxfId="35">
      <formula>#ref!&lt;=0</formula>
    </cfRule>
  </conditionalFormatting>
  <conditionalFormatting sqref="C519 C539">
    <cfRule type="expression" priority="37" aboveAverage="0" equalAverage="0" bottom="0" percent="0" rank="0" text="" dxfId="36">
      <formula>#ref!&lt;=0</formula>
    </cfRule>
  </conditionalFormatting>
  <conditionalFormatting sqref="C520 C540">
    <cfRule type="expression" priority="38" aboveAverage="0" equalAverage="0" bottom="0" percent="0" rank="0" text="" dxfId="37">
      <formula>#ref!&lt;=0</formula>
    </cfRule>
  </conditionalFormatting>
  <conditionalFormatting sqref="C541:C542 C545:C550">
    <cfRule type="expression" priority="39" aboveAverage="0" equalAverage="0" bottom="0" percent="0" rank="0" text="" dxfId="38">
      <formula>#ref!&lt;=0</formula>
    </cfRule>
  </conditionalFormatting>
  <conditionalFormatting sqref="C543">
    <cfRule type="expression" priority="40" aboveAverage="0" equalAverage="0" bottom="0" percent="0" rank="0" text="" dxfId="39">
      <formula>#ref!&lt;=0</formula>
    </cfRule>
  </conditionalFormatting>
  <conditionalFormatting sqref="C544">
    <cfRule type="expression" priority="41" aboveAverage="0" equalAverage="0" bottom="0" percent="0" rank="0" text="" dxfId="40">
      <formula>#ref!&lt;=0</formula>
    </cfRule>
  </conditionalFormatting>
  <conditionalFormatting sqref="C551">
    <cfRule type="expression" priority="42" aboveAverage="0" equalAverage="0" bottom="0" percent="0" rank="0" text="" dxfId="41">
      <formula>#ref!&lt;=0</formula>
    </cfRule>
  </conditionalFormatting>
  <conditionalFormatting sqref="C552">
    <cfRule type="expression" priority="43" aboveAverage="0" equalAverage="0" bottom="0" percent="0" rank="0" text="" dxfId="42">
      <formula>#ref!&lt;=0</formula>
    </cfRule>
  </conditionalFormatting>
  <conditionalFormatting sqref="C553:C554">
    <cfRule type="expression" priority="44" aboveAverage="0" equalAverage="0" bottom="0" percent="0" rank="0" text="" dxfId="43">
      <formula>#ref!&lt;=0</formula>
    </cfRule>
  </conditionalFormatting>
  <conditionalFormatting sqref="C556:C557 C578:C579">
    <cfRule type="expression" priority="45" aboveAverage="0" equalAverage="0" bottom="0" percent="0" rank="0" text="" dxfId="44">
      <formula>#ref!&lt;=0</formula>
    </cfRule>
  </conditionalFormatting>
  <conditionalFormatting sqref="C138">
    <cfRule type="expression" priority="46" aboveAverage="0" equalAverage="0" bottom="0" percent="0" rank="0" text="" dxfId="45">
      <formula>$F138&lt;=0</formula>
    </cfRule>
  </conditionalFormatting>
  <conditionalFormatting sqref="C558:C569 C580:C591">
    <cfRule type="expression" priority="47" aboveAverage="0" equalAverage="0" bottom="0" percent="0" rank="0" text="" dxfId="46">
      <formula>#ref!&lt;=0</formula>
    </cfRule>
  </conditionalFormatting>
  <conditionalFormatting sqref="C570 C592">
    <cfRule type="expression" priority="48" aboveAverage="0" equalAverage="0" bottom="0" percent="0" rank="0" text="" dxfId="47">
      <formula>#ref!&lt;=0</formula>
    </cfRule>
  </conditionalFormatting>
  <conditionalFormatting sqref="C572:C576 C594:C598">
    <cfRule type="expression" priority="49" aboveAverage="0" equalAverage="0" bottom="0" percent="0" rank="0" text="" dxfId="48">
      <formula>#ref!&lt;=0</formula>
    </cfRule>
  </conditionalFormatting>
  <conditionalFormatting sqref="C602:C603">
    <cfRule type="expression" priority="50" aboveAverage="0" equalAverage="0" bottom="0" percent="0" rank="0" text="" dxfId="49">
      <formula>#ref!&lt;=0</formula>
    </cfRule>
  </conditionalFormatting>
  <conditionalFormatting sqref="C599">
    <cfRule type="expression" priority="51" aboveAverage="0" equalAverage="0" bottom="0" percent="0" rank="0" text="" dxfId="50">
      <formula>#ref!&lt;=0</formula>
    </cfRule>
  </conditionalFormatting>
  <conditionalFormatting sqref="C606:C620">
    <cfRule type="expression" priority="52" aboveAverage="0" equalAverage="0" bottom="0" percent="0" rank="0" text="" dxfId="51">
      <formula>#ref!&lt;=0</formula>
    </cfRule>
  </conditionalFormatting>
  <conditionalFormatting sqref="C650">
    <cfRule type="expression" priority="53" aboveAverage="0" equalAverage="0" bottom="0" percent="0" rank="0" text="" dxfId="52">
      <formula>#ref!&lt;=0</formula>
    </cfRule>
  </conditionalFormatting>
  <conditionalFormatting sqref="C604:C605">
    <cfRule type="expression" priority="54" aboveAverage="0" equalAverage="0" bottom="0" percent="0" rank="0" text="" dxfId="53">
      <formula>#ref!&lt;=0</formula>
    </cfRule>
  </conditionalFormatting>
  <conditionalFormatting sqref="C601">
    <cfRule type="expression" priority="55" aboveAverage="0" equalAverage="0" bottom="0" percent="0" rank="0" text="" dxfId="54">
      <formula>$F601&lt;=0</formula>
    </cfRule>
  </conditionalFormatting>
  <conditionalFormatting sqref="C651">
    <cfRule type="expression" priority="56" aboveAverage="0" equalAverage="0" bottom="0" percent="0" rank="0" text="" dxfId="55">
      <formula>#ref!&lt;=0</formula>
    </cfRule>
  </conditionalFormatting>
  <conditionalFormatting sqref="C571 C593">
    <cfRule type="expression" priority="57" aboveAverage="0" equalAverage="0" bottom="0" percent="0" rank="0" text="" dxfId="56">
      <formula>#ref!&lt;=0</formula>
    </cfRule>
  </conditionalFormatting>
  <conditionalFormatting sqref="C653">
    <cfRule type="expression" priority="58" aboveAverage="0" equalAverage="0" bottom="0" percent="0" rank="0" text="" dxfId="57">
      <formula>#ref!&lt;=0</formula>
    </cfRule>
  </conditionalFormatting>
  <conditionalFormatting sqref="C652">
    <cfRule type="expression" priority="59" aboveAverage="0" equalAverage="0" bottom="0" percent="0" rank="0" text="" dxfId="58">
      <formula>#ref!&lt;=0</formula>
    </cfRule>
  </conditionalFormatting>
  <conditionalFormatting sqref="C654:C655">
    <cfRule type="expression" priority="60" aboveAverage="0" equalAverage="0" bottom="0" percent="0" rank="0" text="" dxfId="59">
      <formula>#ref!&lt;=0</formula>
    </cfRule>
  </conditionalFormatting>
  <conditionalFormatting sqref="C656:C659">
    <cfRule type="expression" priority="61" aboveAverage="0" equalAverage="0" bottom="0" percent="0" rank="0" text="" dxfId="60">
      <formula>#ref!&lt;=0</formula>
    </cfRule>
  </conditionalFormatting>
  <conditionalFormatting sqref="C660">
    <cfRule type="expression" priority="62" aboveAverage="0" equalAverage="0" bottom="0" percent="0" rank="0" text="" dxfId="61">
      <formula>#ref!&lt;=0</formula>
    </cfRule>
  </conditionalFormatting>
  <conditionalFormatting sqref="C666:C670">
    <cfRule type="expression" priority="63" aboveAverage="0" equalAverage="0" bottom="0" percent="0" rank="0" text="" dxfId="62">
      <formula>#ref!&lt;=0</formula>
    </cfRule>
  </conditionalFormatting>
  <conditionalFormatting sqref="C661:C665">
    <cfRule type="expression" priority="64" aboveAverage="0" equalAverage="0" bottom="0" percent="0" rank="0" text="" dxfId="63">
      <formula>#ref!&lt;=0</formula>
    </cfRule>
  </conditionalFormatting>
  <conditionalFormatting sqref="C677:C682">
    <cfRule type="expression" priority="65" aboveAverage="0" equalAverage="0" bottom="0" percent="0" rank="0" text="" dxfId="64">
      <formula>#ref!&lt;=0</formula>
    </cfRule>
  </conditionalFormatting>
  <conditionalFormatting sqref="C671:C672">
    <cfRule type="expression" priority="66" aboveAverage="0" equalAverage="0" bottom="0" percent="0" rank="0" text="" dxfId="65">
      <formula>#ref!&lt;=0</formula>
    </cfRule>
  </conditionalFormatting>
  <conditionalFormatting sqref="C673:C675">
    <cfRule type="expression" priority="67" aboveAverage="0" equalAverage="0" bottom="0" percent="0" rank="0" text="" dxfId="66">
      <formula>#ref!&lt;=0</formula>
    </cfRule>
  </conditionalFormatting>
  <conditionalFormatting sqref="C676">
    <cfRule type="expression" priority="68" aboveAverage="0" equalAverage="0" bottom="0" percent="0" rank="0" text="" dxfId="67">
      <formula>#ref!&lt;=0</formula>
    </cfRule>
  </conditionalFormatting>
  <conditionalFormatting sqref="C621:C630 C641:C649">
    <cfRule type="expression" priority="69" aboveAverage="0" equalAverage="0" bottom="0" percent="0" rank="0" text="" dxfId="68">
      <formula>#ref!&lt;=0</formula>
    </cfRule>
  </conditionalFormatting>
  <conditionalFormatting sqref="C631:C640">
    <cfRule type="expression" priority="70" aboveAverage="0" equalAverage="0" bottom="0" percent="0" rank="0" text="" dxfId="69">
      <formula>#ref!&lt;=0</formula>
    </cfRule>
  </conditionalFormatting>
  <conditionalFormatting sqref="C683">
    <cfRule type="expression" priority="71" aboveAverage="0" equalAverage="0" bottom="0" percent="0" rank="0" text="" dxfId="70">
      <formula>#ref!&lt;=0</formula>
    </cfRule>
  </conditionalFormatting>
  <conditionalFormatting sqref="C684:C685">
    <cfRule type="expression" priority="72" aboveAverage="0" equalAverage="0" bottom="0" percent="0" rank="0" text="" dxfId="71">
      <formula>#ref!&lt;=0</formula>
    </cfRule>
  </conditionalFormatting>
  <conditionalFormatting sqref="C686:C687">
    <cfRule type="expression" priority="73" aboveAverage="0" equalAverage="0" bottom="0" percent="0" rank="0" text="" dxfId="72">
      <formula>#ref!&lt;=0</formula>
    </cfRule>
  </conditionalFormatting>
  <conditionalFormatting sqref="C688:C696">
    <cfRule type="expression" priority="74" aboveAverage="0" equalAverage="0" bottom="0" percent="0" rank="0" text="" dxfId="73">
      <formula>#ref!&lt;=0</formula>
    </cfRule>
  </conditionalFormatting>
  <conditionalFormatting sqref="C697:C709">
    <cfRule type="expression" priority="75" aboveAverage="0" equalAverage="0" bottom="0" percent="0" rank="0" text="" dxfId="74">
      <formula>#ref!&lt;=0</formula>
    </cfRule>
  </conditionalFormatting>
  <conditionalFormatting sqref="C710:C713">
    <cfRule type="expression" priority="76" aboveAverage="0" equalAverage="0" bottom="0" percent="0" rank="0" text="" dxfId="75">
      <formula>#ref!&lt;=0</formula>
    </cfRule>
  </conditionalFormatting>
  <conditionalFormatting sqref="C714:C716">
    <cfRule type="expression" priority="77" aboveAverage="0" equalAverage="0" bottom="0" percent="0" rank="0" text="" dxfId="76">
      <formula>#ref!&lt;=0</formula>
    </cfRule>
  </conditionalFormatting>
  <conditionalFormatting sqref="C717:C721">
    <cfRule type="expression" priority="78" aboveAverage="0" equalAverage="0" bottom="0" percent="0" rank="0" text="" dxfId="77">
      <formula>#ref!&lt;=0</formula>
    </cfRule>
  </conditionalFormatting>
  <conditionalFormatting sqref="C722:C728">
    <cfRule type="expression" priority="79" aboveAverage="0" equalAverage="0" bottom="0" percent="0" rank="0" text="" dxfId="78">
      <formula>#ref!&lt;=0</formula>
    </cfRule>
  </conditionalFormatting>
  <conditionalFormatting sqref="C729 C748:C749">
    <cfRule type="expression" priority="80" aboveAverage="0" equalAverage="0" bottom="0" percent="0" rank="0" text="" dxfId="79">
      <formula>#ref!&lt;=0</formula>
    </cfRule>
  </conditionalFormatting>
  <conditionalFormatting sqref="C730">
    <cfRule type="expression" priority="81" aboveAverage="0" equalAverage="0" bottom="0" percent="0" rank="0" text="" dxfId="80">
      <formula>#ref!&lt;=0</formula>
    </cfRule>
  </conditionalFormatting>
  <conditionalFormatting sqref="C731">
    <cfRule type="expression" priority="82" aboveAverage="0" equalAverage="0" bottom="0" percent="0" rank="0" text="" dxfId="81">
      <formula>#ref!&lt;=0</formula>
    </cfRule>
  </conditionalFormatting>
  <conditionalFormatting sqref="C732:C746">
    <cfRule type="expression" priority="83" aboveAverage="0" equalAverage="0" bottom="0" percent="0" rank="0" text="" dxfId="82">
      <formula>#ref!&lt;=0</formula>
    </cfRule>
  </conditionalFormatting>
  <conditionalFormatting sqref="C747">
    <cfRule type="expression" priority="84" aboveAverage="0" equalAverage="0" bottom="0" percent="0" rank="0" text="" dxfId="83">
      <formula>#ref!&lt;=0</formula>
    </cfRule>
  </conditionalFormatting>
  <conditionalFormatting sqref="C7">
    <cfRule type="expression" priority="85" aboveAverage="0" equalAverage="0" bottom="0" percent="0" rank="0" text="" dxfId="84">
      <formula>$F7&lt;=0</formula>
    </cfRule>
  </conditionalFormatting>
  <conditionalFormatting sqref="C8">
    <cfRule type="expression" priority="86" aboveAverage="0" equalAverage="0" bottom="0" percent="0" rank="0" text="" dxfId="85">
      <formula>$F8&lt;=0</formula>
    </cfRule>
  </conditionalFormatting>
  <conditionalFormatting sqref="C9">
    <cfRule type="expression" priority="87" aboveAverage="0" equalAverage="0" bottom="0" percent="0" rank="0" text="" dxfId="86">
      <formula>$F9&lt;=0</formula>
    </cfRule>
  </conditionalFormatting>
  <conditionalFormatting sqref="C11">
    <cfRule type="expression" priority="88" aboveAverage="0" equalAverage="0" bottom="0" percent="0" rank="0" text="" dxfId="87">
      <formula>$F11&lt;=0</formula>
    </cfRule>
  </conditionalFormatting>
  <conditionalFormatting sqref="C16">
    <cfRule type="expression" priority="89" aboveAverage="0" equalAverage="0" bottom="0" percent="0" rank="0" text="" dxfId="88">
      <formula>$F16&lt;=0</formula>
    </cfRule>
  </conditionalFormatting>
  <conditionalFormatting sqref="C17">
    <cfRule type="expression" priority="90" aboveAverage="0" equalAverage="0" bottom="0" percent="0" rank="0" text="" dxfId="89">
      <formula>$F17&lt;=0</formula>
    </cfRule>
  </conditionalFormatting>
  <conditionalFormatting sqref="C18">
    <cfRule type="expression" priority="91" aboveAverage="0" equalAverage="0" bottom="0" percent="0" rank="0" text="" dxfId="90">
      <formula>$F18&lt;=0</formula>
    </cfRule>
  </conditionalFormatting>
  <conditionalFormatting sqref="C19">
    <cfRule type="expression" priority="92" aboveAverage="0" equalAverage="0" bottom="0" percent="0" rank="0" text="" dxfId="91">
      <formula>$F19&lt;=0</formula>
    </cfRule>
  </conditionalFormatting>
  <conditionalFormatting sqref="C21">
    <cfRule type="expression" priority="93" aboveAverage="0" equalAverage="0" bottom="0" percent="0" rank="0" text="" dxfId="92">
      <formula>$F21&lt;=0</formula>
    </cfRule>
  </conditionalFormatting>
  <conditionalFormatting sqref="C23">
    <cfRule type="expression" priority="94" aboveAverage="0" equalAverage="0" bottom="0" percent="0" rank="0" text="" dxfId="93">
      <formula>$F23&lt;=0</formula>
    </cfRule>
  </conditionalFormatting>
  <conditionalFormatting sqref="C22">
    <cfRule type="expression" priority="95" aboveAverage="0" equalAverage="0" bottom="0" percent="0" rank="0" text="" dxfId="94">
      <formula>$F22&lt;=0</formula>
    </cfRule>
  </conditionalFormatting>
  <conditionalFormatting sqref="C24">
    <cfRule type="expression" priority="96" aboveAverage="0" equalAverage="0" bottom="0" percent="0" rank="0" text="" dxfId="95">
      <formula>$F24&lt;=0</formula>
    </cfRule>
  </conditionalFormatting>
  <conditionalFormatting sqref="C25">
    <cfRule type="expression" priority="97" aboveAverage="0" equalAverage="0" bottom="0" percent="0" rank="0" text="" dxfId="96">
      <formula>$F25&lt;=0</formula>
    </cfRule>
  </conditionalFormatting>
  <conditionalFormatting sqref="C26">
    <cfRule type="expression" priority="98" aboveAverage="0" equalAverage="0" bottom="0" percent="0" rank="0" text="" dxfId="97">
      <formula>$F26&lt;=0</formula>
    </cfRule>
  </conditionalFormatting>
  <conditionalFormatting sqref="C27">
    <cfRule type="expression" priority="99" aboveAverage="0" equalAverage="0" bottom="0" percent="0" rank="0" text="" dxfId="98">
      <formula>$F27&lt;=0</formula>
    </cfRule>
  </conditionalFormatting>
  <conditionalFormatting sqref="C28">
    <cfRule type="expression" priority="100" aboveAverage="0" equalAverage="0" bottom="0" percent="0" rank="0" text="" dxfId="99">
      <formula>$F28&lt;=0</formula>
    </cfRule>
  </conditionalFormatting>
  <conditionalFormatting sqref="C29:C30">
    <cfRule type="expression" priority="101" aboveAverage="0" equalAverage="0" bottom="0" percent="0" rank="0" text="" dxfId="100">
      <formula>$F29&lt;=0</formula>
    </cfRule>
  </conditionalFormatting>
  <conditionalFormatting sqref="C31">
    <cfRule type="expression" priority="102" aboveAverage="0" equalAverage="0" bottom="0" percent="0" rank="0" text="" dxfId="101">
      <formula>$F31&lt;=0</formula>
    </cfRule>
  </conditionalFormatting>
  <conditionalFormatting sqref="C32">
    <cfRule type="expression" priority="103" aboveAverage="0" equalAverage="0" bottom="0" percent="0" rank="0" text="" dxfId="102">
      <formula>$F32&lt;=0</formula>
    </cfRule>
  </conditionalFormatting>
  <conditionalFormatting sqref="C33">
    <cfRule type="expression" priority="104" aboveAverage="0" equalAverage="0" bottom="0" percent="0" rank="0" text="" dxfId="103">
      <formula>$F33&lt;=0</formula>
    </cfRule>
  </conditionalFormatting>
  <conditionalFormatting sqref="C34">
    <cfRule type="expression" priority="105" aboveAverage="0" equalAverage="0" bottom="0" percent="0" rank="0" text="" dxfId="104">
      <formula>$F34&lt;=0</formula>
    </cfRule>
  </conditionalFormatting>
  <conditionalFormatting sqref="C35">
    <cfRule type="expression" priority="106" aboveAverage="0" equalAverage="0" bottom="0" percent="0" rank="0" text="" dxfId="105">
      <formula>$F35&lt;=0</formula>
    </cfRule>
  </conditionalFormatting>
  <conditionalFormatting sqref="C36">
    <cfRule type="expression" priority="107" aboveAverage="0" equalAverage="0" bottom="0" percent="0" rank="0" text="" dxfId="106">
      <formula>$F36&lt;=0</formula>
    </cfRule>
  </conditionalFormatting>
  <conditionalFormatting sqref="C40">
    <cfRule type="expression" priority="108" aboveAverage="0" equalAverage="0" bottom="0" percent="0" rank="0" text="" dxfId="107">
      <formula>$F40&lt;=0</formula>
    </cfRule>
  </conditionalFormatting>
  <conditionalFormatting sqref="C38">
    <cfRule type="expression" priority="109" aboveAverage="0" equalAverage="0" bottom="0" percent="0" rank="0" text="" dxfId="108">
      <formula>$F38&lt;=0</formula>
    </cfRule>
  </conditionalFormatting>
  <conditionalFormatting sqref="C39">
    <cfRule type="expression" priority="110" aboveAverage="0" equalAverage="0" bottom="0" percent="0" rank="0" text="" dxfId="109">
      <formula>$F39&lt;=0</formula>
    </cfRule>
  </conditionalFormatting>
  <conditionalFormatting sqref="C41">
    <cfRule type="expression" priority="111" aboveAverage="0" equalAverage="0" bottom="0" percent="0" rank="0" text="" dxfId="110">
      <formula>$F41&lt;=0</formula>
    </cfRule>
  </conditionalFormatting>
  <conditionalFormatting sqref="C42">
    <cfRule type="expression" priority="112" aboveAverage="0" equalAverage="0" bottom="0" percent="0" rank="0" text="" dxfId="111">
      <formula>$F42&lt;=0</formula>
    </cfRule>
  </conditionalFormatting>
  <conditionalFormatting sqref="C43">
    <cfRule type="expression" priority="113" aboveAverage="0" equalAverage="0" bottom="0" percent="0" rank="0" text="" dxfId="112">
      <formula>$F43&lt;=0</formula>
    </cfRule>
  </conditionalFormatting>
  <conditionalFormatting sqref="C44">
    <cfRule type="expression" priority="114" aboveAverage="0" equalAverage="0" bottom="0" percent="0" rank="0" text="" dxfId="113">
      <formula>$F44&lt;=0</formula>
    </cfRule>
  </conditionalFormatting>
  <conditionalFormatting sqref="C45">
    <cfRule type="expression" priority="115" aboveAverage="0" equalAverage="0" bottom="0" percent="0" rank="0" text="" dxfId="114">
      <formula>$F45&lt;=0</formula>
    </cfRule>
  </conditionalFormatting>
  <conditionalFormatting sqref="C46">
    <cfRule type="expression" priority="116" aboveAverage="0" equalAverage="0" bottom="0" percent="0" rank="0" text="" dxfId="115">
      <formula>$F46&lt;=0</formula>
    </cfRule>
  </conditionalFormatting>
  <conditionalFormatting sqref="C47">
    <cfRule type="expression" priority="117" aboveAverage="0" equalAverage="0" bottom="0" percent="0" rank="0" text="" dxfId="116">
      <formula>$F47&lt;=0</formula>
    </cfRule>
  </conditionalFormatting>
  <conditionalFormatting sqref="C48">
    <cfRule type="expression" priority="118" aboveAverage="0" equalAverage="0" bottom="0" percent="0" rank="0" text="" dxfId="117">
      <formula>$F48&lt;=0</formula>
    </cfRule>
  </conditionalFormatting>
  <conditionalFormatting sqref="C49">
    <cfRule type="expression" priority="119" aboveAverage="0" equalAverage="0" bottom="0" percent="0" rank="0" text="" dxfId="118">
      <formula>$F49&lt;=0</formula>
    </cfRule>
  </conditionalFormatting>
  <conditionalFormatting sqref="C51">
    <cfRule type="expression" priority="120" aboveAverage="0" equalAverage="0" bottom="0" percent="0" rank="0" text="" dxfId="119">
      <formula>$F51&lt;=0</formula>
    </cfRule>
  </conditionalFormatting>
  <conditionalFormatting sqref="C37">
    <cfRule type="expression" priority="121" aboveAverage="0" equalAverage="0" bottom="0" percent="0" rank="0" text="" dxfId="120">
      <formula>$F47&lt;=0</formula>
    </cfRule>
  </conditionalFormatting>
  <conditionalFormatting sqref="C52">
    <cfRule type="expression" priority="122" aboveAverage="0" equalAverage="0" bottom="0" percent="0" rank="0" text="" dxfId="121">
      <formula>$F52&lt;=0</formula>
    </cfRule>
  </conditionalFormatting>
  <conditionalFormatting sqref="C53">
    <cfRule type="expression" priority="123" aboveAverage="0" equalAverage="0" bottom="0" percent="0" rank="0" text="" dxfId="122">
      <formula>$F53&lt;=0</formula>
    </cfRule>
  </conditionalFormatting>
  <conditionalFormatting sqref="C54:C55">
    <cfRule type="expression" priority="124" aboveAverage="0" equalAverage="0" bottom="0" percent="0" rank="0" text="" dxfId="123">
      <formula>$F54&lt;=0</formula>
    </cfRule>
  </conditionalFormatting>
  <conditionalFormatting sqref="C56">
    <cfRule type="expression" priority="125" aboveAverage="0" equalAverage="0" bottom="0" percent="0" rank="0" text="" dxfId="124">
      <formula>$F56&lt;=0</formula>
    </cfRule>
  </conditionalFormatting>
  <conditionalFormatting sqref="C57">
    <cfRule type="expression" priority="126" aboveAverage="0" equalAverage="0" bottom="0" percent="0" rank="0" text="" dxfId="125">
      <formula>$F57&lt;=0</formula>
    </cfRule>
  </conditionalFormatting>
  <conditionalFormatting sqref="C58">
    <cfRule type="expression" priority="127" aboveAverage="0" equalAverage="0" bottom="0" percent="0" rank="0" text="" dxfId="126">
      <formula>$F58&lt;=0</formula>
    </cfRule>
  </conditionalFormatting>
  <conditionalFormatting sqref="C59">
    <cfRule type="expression" priority="128" aboveAverage="0" equalAverage="0" bottom="0" percent="0" rank="0" text="" dxfId="127">
      <formula>$F59&lt;=0</formula>
    </cfRule>
  </conditionalFormatting>
  <conditionalFormatting sqref="C60">
    <cfRule type="expression" priority="129" aboveAverage="0" equalAverage="0" bottom="0" percent="0" rank="0" text="" dxfId="128">
      <formula>$F60&lt;=0</formula>
    </cfRule>
  </conditionalFormatting>
  <conditionalFormatting sqref="C61">
    <cfRule type="expression" priority="130" aboveAverage="0" equalAverage="0" bottom="0" percent="0" rank="0" text="" dxfId="129">
      <formula>$F61&lt;=0</formula>
    </cfRule>
  </conditionalFormatting>
  <conditionalFormatting sqref="C62">
    <cfRule type="expression" priority="131" aboveAverage="0" equalAverage="0" bottom="0" percent="0" rank="0" text="" dxfId="130">
      <formula>$F62&lt;=0</formula>
    </cfRule>
  </conditionalFormatting>
  <conditionalFormatting sqref="C63">
    <cfRule type="expression" priority="132" aboveAverage="0" equalAverage="0" bottom="0" percent="0" rank="0" text="" dxfId="131">
      <formula>$F63&lt;=0</formula>
    </cfRule>
  </conditionalFormatting>
  <conditionalFormatting sqref="C64">
    <cfRule type="expression" priority="133" aboveAverage="0" equalAverage="0" bottom="0" percent="0" rank="0" text="" dxfId="132">
      <formula>$F64&lt;=0</formula>
    </cfRule>
  </conditionalFormatting>
  <conditionalFormatting sqref="C65">
    <cfRule type="expression" priority="134" aboveAverage="0" equalAverage="0" bottom="0" percent="0" rank="0" text="" dxfId="133">
      <formula>$F65&lt;=0</formula>
    </cfRule>
  </conditionalFormatting>
  <conditionalFormatting sqref="C66">
    <cfRule type="expression" priority="135" aboveAverage="0" equalAverage="0" bottom="0" percent="0" rank="0" text="" dxfId="134">
      <formula>$F66&lt;=0</formula>
    </cfRule>
  </conditionalFormatting>
  <conditionalFormatting sqref="C67">
    <cfRule type="expression" priority="136" aboveAverage="0" equalAverage="0" bottom="0" percent="0" rank="0" text="" dxfId="135">
      <formula>$F67&lt;=0</formula>
    </cfRule>
  </conditionalFormatting>
  <conditionalFormatting sqref="C68">
    <cfRule type="expression" priority="137" aboveAverage="0" equalAverage="0" bottom="0" percent="0" rank="0" text="" dxfId="136">
      <formula>$F68&lt;=0</formula>
    </cfRule>
  </conditionalFormatting>
  <conditionalFormatting sqref="C69">
    <cfRule type="expression" priority="138" aboveAverage="0" equalAverage="0" bottom="0" percent="0" rank="0" text="" dxfId="137">
      <formula>$F69&lt;=0</formula>
    </cfRule>
  </conditionalFormatting>
  <conditionalFormatting sqref="C70">
    <cfRule type="expression" priority="139" aboveAverage="0" equalAverage="0" bottom="0" percent="0" rank="0" text="" dxfId="138">
      <formula>$F70&lt;=0</formula>
    </cfRule>
  </conditionalFormatting>
  <conditionalFormatting sqref="C71">
    <cfRule type="expression" priority="140" aboveAverage="0" equalAverage="0" bottom="0" percent="0" rank="0" text="" dxfId="139">
      <formula>$F71&lt;=0</formula>
    </cfRule>
  </conditionalFormatting>
  <conditionalFormatting sqref="C72">
    <cfRule type="expression" priority="141" aboveAverage="0" equalAverage="0" bottom="0" percent="0" rank="0" text="" dxfId="140">
      <formula>$F72&lt;=0</formula>
    </cfRule>
  </conditionalFormatting>
  <conditionalFormatting sqref="C73">
    <cfRule type="expression" priority="142" aboveAverage="0" equalAverage="0" bottom="0" percent="0" rank="0" text="" dxfId="141">
      <formula>$F73&lt;=0</formula>
    </cfRule>
  </conditionalFormatting>
  <conditionalFormatting sqref="C74">
    <cfRule type="expression" priority="143" aboveAverage="0" equalAverage="0" bottom="0" percent="0" rank="0" text="" dxfId="142">
      <formula>$F74&lt;=0</formula>
    </cfRule>
  </conditionalFormatting>
  <conditionalFormatting sqref="C75">
    <cfRule type="expression" priority="144" aboveAverage="0" equalAverage="0" bottom="0" percent="0" rank="0" text="" dxfId="143">
      <formula>$F75&lt;=0</formula>
    </cfRule>
  </conditionalFormatting>
  <conditionalFormatting sqref="C76">
    <cfRule type="expression" priority="145" aboveAverage="0" equalAverage="0" bottom="0" percent="0" rank="0" text="" dxfId="144">
      <formula>$F76&lt;=0</formula>
    </cfRule>
  </conditionalFormatting>
  <conditionalFormatting sqref="C77">
    <cfRule type="expression" priority="146" aboveAverage="0" equalAverage="0" bottom="0" percent="0" rank="0" text="" dxfId="145">
      <formula>$F77&lt;=0</formula>
    </cfRule>
  </conditionalFormatting>
  <conditionalFormatting sqref="C78">
    <cfRule type="expression" priority="147" aboveAverage="0" equalAverage="0" bottom="0" percent="0" rank="0" text="" dxfId="146">
      <formula>$F78&lt;=0</formula>
    </cfRule>
  </conditionalFormatting>
  <conditionalFormatting sqref="C79">
    <cfRule type="expression" priority="148" aboveAverage="0" equalAverage="0" bottom="0" percent="0" rank="0" text="" dxfId="147">
      <formula>$F79&lt;=0</formula>
    </cfRule>
  </conditionalFormatting>
  <conditionalFormatting sqref="C81">
    <cfRule type="expression" priority="149" aboveAverage="0" equalAverage="0" bottom="0" percent="0" rank="0" text="" dxfId="148">
      <formula>$F81&lt;=0</formula>
    </cfRule>
  </conditionalFormatting>
  <conditionalFormatting sqref="C142">
    <cfRule type="expression" priority="150" aboveAverage="0" equalAverage="0" bottom="0" percent="0" rank="0" text="" dxfId="149">
      <formula>$F142&lt;=0</formula>
    </cfRule>
  </conditionalFormatting>
  <conditionalFormatting sqref="C82">
    <cfRule type="expression" priority="151" aboveAverage="0" equalAverage="0" bottom="0" percent="0" rank="0" text="" dxfId="150">
      <formula>$F82&lt;=0</formula>
    </cfRule>
  </conditionalFormatting>
  <conditionalFormatting sqref="C83">
    <cfRule type="expression" priority="152" aboveAverage="0" equalAverage="0" bottom="0" percent="0" rank="0" text="" dxfId="151">
      <formula>$F83&lt;=0</formula>
    </cfRule>
  </conditionalFormatting>
  <conditionalFormatting sqref="C84">
    <cfRule type="expression" priority="153" aboveAverage="0" equalAverage="0" bottom="0" percent="0" rank="0" text="" dxfId="152">
      <formula>$F84&lt;=0</formula>
    </cfRule>
  </conditionalFormatting>
  <conditionalFormatting sqref="C85">
    <cfRule type="expression" priority="154" aboveAverage="0" equalAverage="0" bottom="0" percent="0" rank="0" text="" dxfId="153">
      <formula>$F85&lt;=0</formula>
    </cfRule>
  </conditionalFormatting>
  <conditionalFormatting sqref="C86">
    <cfRule type="expression" priority="155" aboveAverage="0" equalAverage="0" bottom="0" percent="0" rank="0" text="" dxfId="154">
      <formula>$F86&lt;=0</formula>
    </cfRule>
  </conditionalFormatting>
  <conditionalFormatting sqref="C88">
    <cfRule type="expression" priority="156" aboveAverage="0" equalAverage="0" bottom="0" percent="0" rank="0" text="" dxfId="155">
      <formula>$F88&lt;=0</formula>
    </cfRule>
  </conditionalFormatting>
  <conditionalFormatting sqref="C87">
    <cfRule type="expression" priority="157" aboveAverage="0" equalAverage="0" bottom="0" percent="0" rank="0" text="" dxfId="156">
      <formula>$F87&lt;=0</formula>
    </cfRule>
  </conditionalFormatting>
  <conditionalFormatting sqref="C89">
    <cfRule type="expression" priority="158" aboveAverage="0" equalAverage="0" bottom="0" percent="0" rank="0" text="" dxfId="157">
      <formula>$F89&lt;=0</formula>
    </cfRule>
  </conditionalFormatting>
  <conditionalFormatting sqref="C90">
    <cfRule type="expression" priority="159" aboveAverage="0" equalAverage="0" bottom="0" percent="0" rank="0" text="" dxfId="158">
      <formula>$F90&lt;=0</formula>
    </cfRule>
  </conditionalFormatting>
  <conditionalFormatting sqref="C91">
    <cfRule type="expression" priority="160" aboveAverage="0" equalAverage="0" bottom="0" percent="0" rank="0" text="" dxfId="159">
      <formula>$F91&lt;=0</formula>
    </cfRule>
  </conditionalFormatting>
  <conditionalFormatting sqref="C92">
    <cfRule type="expression" priority="161" aboveAverage="0" equalAverage="0" bottom="0" percent="0" rank="0" text="" dxfId="160">
      <formula>$F92&lt;=0</formula>
    </cfRule>
  </conditionalFormatting>
  <conditionalFormatting sqref="C93">
    <cfRule type="expression" priority="162" aboveAverage="0" equalAverage="0" bottom="0" percent="0" rank="0" text="" dxfId="161">
      <formula>$F93&lt;=0</formula>
    </cfRule>
  </conditionalFormatting>
  <conditionalFormatting sqref="C94">
    <cfRule type="expression" priority="163" aboveAverage="0" equalAverage="0" bottom="0" percent="0" rank="0" text="" dxfId="162">
      <formula>$F94&lt;=0</formula>
    </cfRule>
  </conditionalFormatting>
  <conditionalFormatting sqref="C95">
    <cfRule type="expression" priority="164" aboveAverage="0" equalAverage="0" bottom="0" percent="0" rank="0" text="" dxfId="163">
      <formula>$F95&lt;=0</formula>
    </cfRule>
  </conditionalFormatting>
  <conditionalFormatting sqref="C96">
    <cfRule type="expression" priority="165" aboveAverage="0" equalAverage="0" bottom="0" percent="0" rank="0" text="" dxfId="164">
      <formula>$F96&lt;=0</formula>
    </cfRule>
  </conditionalFormatting>
  <conditionalFormatting sqref="C97">
    <cfRule type="expression" priority="166" aboveAverage="0" equalAverage="0" bottom="0" percent="0" rank="0" text="" dxfId="165">
      <formula>$F97&lt;=0</formula>
    </cfRule>
  </conditionalFormatting>
  <conditionalFormatting sqref="C98">
    <cfRule type="expression" priority="167" aboveAverage="0" equalAverage="0" bottom="0" percent="0" rank="0" text="" dxfId="166">
      <formula>$F98&lt;=0</formula>
    </cfRule>
  </conditionalFormatting>
  <conditionalFormatting sqref="C99">
    <cfRule type="expression" priority="168" aboveAverage="0" equalAverage="0" bottom="0" percent="0" rank="0" text="" dxfId="167">
      <formula>$F99&lt;=0</formula>
    </cfRule>
  </conditionalFormatting>
  <conditionalFormatting sqref="C100">
    <cfRule type="expression" priority="169" aboveAverage="0" equalAverage="0" bottom="0" percent="0" rank="0" text="" dxfId="168">
      <formula>$F100&lt;=0</formula>
    </cfRule>
  </conditionalFormatting>
  <conditionalFormatting sqref="C101">
    <cfRule type="expression" priority="170" aboveAverage="0" equalAverage="0" bottom="0" percent="0" rank="0" text="" dxfId="169">
      <formula>$F101&lt;=0</formula>
    </cfRule>
  </conditionalFormatting>
  <conditionalFormatting sqref="C102">
    <cfRule type="expression" priority="171" aboveAverage="0" equalAverage="0" bottom="0" percent="0" rank="0" text="" dxfId="170">
      <formula>$F102&lt;=0</formula>
    </cfRule>
  </conditionalFormatting>
  <conditionalFormatting sqref="C103">
    <cfRule type="expression" priority="172" aboveAverage="0" equalAverage="0" bottom="0" percent="0" rank="0" text="" dxfId="171">
      <formula>$F103&lt;=0</formula>
    </cfRule>
  </conditionalFormatting>
  <conditionalFormatting sqref="C104">
    <cfRule type="expression" priority="173" aboveAverage="0" equalAverage="0" bottom="0" percent="0" rank="0" text="" dxfId="172">
      <formula>$F104&lt;=0</formula>
    </cfRule>
  </conditionalFormatting>
  <conditionalFormatting sqref="C105">
    <cfRule type="expression" priority="174" aboveAverage="0" equalAverage="0" bottom="0" percent="0" rank="0" text="" dxfId="173">
      <formula>$F105&lt;=0</formula>
    </cfRule>
  </conditionalFormatting>
  <conditionalFormatting sqref="C106">
    <cfRule type="expression" priority="175" aboveAverage="0" equalAverage="0" bottom="0" percent="0" rank="0" text="" dxfId="174">
      <formula>$F106&lt;=0</formula>
    </cfRule>
  </conditionalFormatting>
  <conditionalFormatting sqref="C107">
    <cfRule type="expression" priority="176" aboveAverage="0" equalAverage="0" bottom="0" percent="0" rank="0" text="" dxfId="175">
      <formula>$F107&lt;=0</formula>
    </cfRule>
  </conditionalFormatting>
  <conditionalFormatting sqref="C108">
    <cfRule type="expression" priority="177" aboveAverage="0" equalAverage="0" bottom="0" percent="0" rank="0" text="" dxfId="176">
      <formula>$F108&lt;=0</formula>
    </cfRule>
  </conditionalFormatting>
  <conditionalFormatting sqref="C109">
    <cfRule type="expression" priority="178" aboveAverage="0" equalAverage="0" bottom="0" percent="0" rank="0" text="" dxfId="177">
      <formula>$F109&lt;=0</formula>
    </cfRule>
  </conditionalFormatting>
  <conditionalFormatting sqref="C110">
    <cfRule type="expression" priority="179" aboveAverage="0" equalAverage="0" bottom="0" percent="0" rank="0" text="" dxfId="178">
      <formula>$F110&lt;=0</formula>
    </cfRule>
  </conditionalFormatting>
  <conditionalFormatting sqref="C111">
    <cfRule type="expression" priority="180" aboveAverage="0" equalAverage="0" bottom="0" percent="0" rank="0" text="" dxfId="179">
      <formula>$F111&lt;=0</formula>
    </cfRule>
  </conditionalFormatting>
  <conditionalFormatting sqref="C112">
    <cfRule type="expression" priority="181" aboveAverage="0" equalAverage="0" bottom="0" percent="0" rank="0" text="" dxfId="180">
      <formula>$F112&lt;=0</formula>
    </cfRule>
  </conditionalFormatting>
  <conditionalFormatting sqref="C113">
    <cfRule type="expression" priority="182" aboveAverage="0" equalAverage="0" bottom="0" percent="0" rank="0" text="" dxfId="181">
      <formula>$F113&lt;=0</formula>
    </cfRule>
  </conditionalFormatting>
  <conditionalFormatting sqref="C114">
    <cfRule type="expression" priority="183" aboveAverage="0" equalAverage="0" bottom="0" percent="0" rank="0" text="" dxfId="182">
      <formula>$F114&lt;=0</formula>
    </cfRule>
  </conditionalFormatting>
  <conditionalFormatting sqref="C115">
    <cfRule type="expression" priority="184" aboveAverage="0" equalAverage="0" bottom="0" percent="0" rank="0" text="" dxfId="183">
      <formula>$F115&lt;=0</formula>
    </cfRule>
  </conditionalFormatting>
  <conditionalFormatting sqref="C116">
    <cfRule type="expression" priority="185" aboveAverage="0" equalAverage="0" bottom="0" percent="0" rank="0" text="" dxfId="184">
      <formula>$F116&lt;=0</formula>
    </cfRule>
  </conditionalFormatting>
  <conditionalFormatting sqref="C117">
    <cfRule type="expression" priority="186" aboveAverage="0" equalAverage="0" bottom="0" percent="0" rank="0" text="" dxfId="185">
      <formula>$F117&lt;=0</formula>
    </cfRule>
  </conditionalFormatting>
  <conditionalFormatting sqref="C118">
    <cfRule type="expression" priority="187" aboveAverage="0" equalAverage="0" bottom="0" percent="0" rank="0" text="" dxfId="186">
      <formula>$F118&lt;=0</formula>
    </cfRule>
  </conditionalFormatting>
  <conditionalFormatting sqref="C119">
    <cfRule type="expression" priority="188" aboveAverage="0" equalAverage="0" bottom="0" percent="0" rank="0" text="" dxfId="187">
      <formula>$F119&lt;=0</formula>
    </cfRule>
  </conditionalFormatting>
  <conditionalFormatting sqref="C120">
    <cfRule type="expression" priority="189" aboveAverage="0" equalAverage="0" bottom="0" percent="0" rank="0" text="" dxfId="188">
      <formula>$F120&lt;=0</formula>
    </cfRule>
  </conditionalFormatting>
  <conditionalFormatting sqref="C121">
    <cfRule type="expression" priority="190" aboveAverage="0" equalAverage="0" bottom="0" percent="0" rank="0" text="" dxfId="189">
      <formula>$F121&lt;=0</formula>
    </cfRule>
  </conditionalFormatting>
  <conditionalFormatting sqref="C122">
    <cfRule type="expression" priority="191" aboveAverage="0" equalAverage="0" bottom="0" percent="0" rank="0" text="" dxfId="190">
      <formula>$F122&lt;=0</formula>
    </cfRule>
  </conditionalFormatting>
  <conditionalFormatting sqref="C123">
    <cfRule type="expression" priority="192" aboveAverage="0" equalAverage="0" bottom="0" percent="0" rank="0" text="" dxfId="191">
      <formula>$F123&lt;=0</formula>
    </cfRule>
  </conditionalFormatting>
  <conditionalFormatting sqref="C124">
    <cfRule type="expression" priority="193" aboveAverage="0" equalAverage="0" bottom="0" percent="0" rank="0" text="" dxfId="192">
      <formula>$F124&lt;=0</formula>
    </cfRule>
  </conditionalFormatting>
  <conditionalFormatting sqref="C125">
    <cfRule type="expression" priority="194" aboveAverage="0" equalAverage="0" bottom="0" percent="0" rank="0" text="" dxfId="193">
      <formula>$F125&lt;=0</formula>
    </cfRule>
  </conditionalFormatting>
  <conditionalFormatting sqref="C126:C127">
    <cfRule type="expression" priority="195" aboveAverage="0" equalAverage="0" bottom="0" percent="0" rank="0" text="" dxfId="194">
      <formula>$F126&lt;=0</formula>
    </cfRule>
  </conditionalFormatting>
  <conditionalFormatting sqref="C128">
    <cfRule type="expression" priority="196" aboveAverage="0" equalAverage="0" bottom="0" percent="0" rank="0" text="" dxfId="195">
      <formula>$F128&lt;=0</formula>
    </cfRule>
  </conditionalFormatting>
  <conditionalFormatting sqref="C129">
    <cfRule type="expression" priority="197" aboveAverage="0" equalAverage="0" bottom="0" percent="0" rank="0" text="" dxfId="196">
      <formula>$F129&lt;=0</formula>
    </cfRule>
  </conditionalFormatting>
  <conditionalFormatting sqref="C130">
    <cfRule type="expression" priority="198" aboveAverage="0" equalAverage="0" bottom="0" percent="0" rank="0" text="" dxfId="197">
      <formula>$F130&lt;=0</formula>
    </cfRule>
  </conditionalFormatting>
  <conditionalFormatting sqref="C131">
    <cfRule type="expression" priority="199" aboveAverage="0" equalAverage="0" bottom="0" percent="0" rank="0" text="" dxfId="198">
      <formula>$F131&lt;=0</formula>
    </cfRule>
  </conditionalFormatting>
  <conditionalFormatting sqref="C132">
    <cfRule type="expression" priority="200" aboveAverage="0" equalAverage="0" bottom="0" percent="0" rank="0" text="" dxfId="199">
      <formula>$F132&lt;=0</formula>
    </cfRule>
  </conditionalFormatting>
  <conditionalFormatting sqref="C133">
    <cfRule type="expression" priority="201" aboveAverage="0" equalAverage="0" bottom="0" percent="0" rank="0" text="" dxfId="200">
      <formula>$F133&lt;=0</formula>
    </cfRule>
  </conditionalFormatting>
  <conditionalFormatting sqref="C134">
    <cfRule type="expression" priority="202" aboveAverage="0" equalAverage="0" bottom="0" percent="0" rank="0" text="" dxfId="201">
      <formula>$F134&lt;=0</formula>
    </cfRule>
  </conditionalFormatting>
  <conditionalFormatting sqref="C135">
    <cfRule type="expression" priority="203" aboveAverage="0" equalAverage="0" bottom="0" percent="0" rank="0" text="" dxfId="202">
      <formula>$F135&lt;=0</formula>
    </cfRule>
  </conditionalFormatting>
  <conditionalFormatting sqref="C139">
    <cfRule type="expression" priority="204" aboveAverage="0" equalAverage="0" bottom="0" percent="0" rank="0" text="" dxfId="203">
      <formula>$F139&lt;=0</formula>
    </cfRule>
  </conditionalFormatting>
  <conditionalFormatting sqref="C136:C137">
    <cfRule type="expression" priority="205" aboveAverage="0" equalAverage="0" bottom="0" percent="0" rank="0" text="" dxfId="204">
      <formula>$F136&lt;=0</formula>
    </cfRule>
  </conditionalFormatting>
  <conditionalFormatting sqref="C140">
    <cfRule type="expression" priority="206" aboveAverage="0" equalAverage="0" bottom="0" percent="0" rank="0" text="" dxfId="205">
      <formula>$F140&lt;=0</formula>
    </cfRule>
  </conditionalFormatting>
  <conditionalFormatting sqref="C141">
    <cfRule type="expression" priority="207" aboveAverage="0" equalAverage="0" bottom="0" percent="0" rank="0" text="" dxfId="206">
      <formula>$F141&lt;=0</formula>
    </cfRule>
  </conditionalFormatting>
  <conditionalFormatting sqref="C143">
    <cfRule type="expression" priority="208" aboveAverage="0" equalAverage="0" bottom="0" percent="0" rank="0" text="" dxfId="207">
      <formula>$F143&lt;=0</formula>
    </cfRule>
  </conditionalFormatting>
  <conditionalFormatting sqref="C144">
    <cfRule type="expression" priority="209" aboveAverage="0" equalAverage="0" bottom="0" percent="0" rank="0" text="" dxfId="208">
      <formula>$F144&lt;=0</formula>
    </cfRule>
  </conditionalFormatting>
  <conditionalFormatting sqref="C145:C146">
    <cfRule type="expression" priority="210" aboveAverage="0" equalAverage="0" bottom="0" percent="0" rank="0" text="" dxfId="209">
      <formula>$F145&lt;=0</formula>
    </cfRule>
  </conditionalFormatting>
  <conditionalFormatting sqref="C147:C148">
    <cfRule type="expression" priority="211" aboveAverage="0" equalAverage="0" bottom="0" percent="0" rank="0" text="" dxfId="210">
      <formula>$F147&lt;=0</formula>
    </cfRule>
  </conditionalFormatting>
  <conditionalFormatting sqref="C149">
    <cfRule type="expression" priority="212" aboveAverage="0" equalAverage="0" bottom="0" percent="0" rank="0" text="" dxfId="211">
      <formula>$F149&lt;=0</formula>
    </cfRule>
  </conditionalFormatting>
  <conditionalFormatting sqref="C150">
    <cfRule type="expression" priority="213" aboveAverage="0" equalAverage="0" bottom="0" percent="0" rank="0" text="" dxfId="212">
      <formula>$F150&lt;=0</formula>
    </cfRule>
  </conditionalFormatting>
  <conditionalFormatting sqref="C151">
    <cfRule type="expression" priority="214" aboveAverage="0" equalAverage="0" bottom="0" percent="0" rank="0" text="" dxfId="213">
      <formula>$F151&lt;=0</formula>
    </cfRule>
  </conditionalFormatting>
  <conditionalFormatting sqref="C152">
    <cfRule type="expression" priority="215" aboveAverage="0" equalAverage="0" bottom="0" percent="0" rank="0" text="" dxfId="214">
      <formula>$F152&lt;=0</formula>
    </cfRule>
  </conditionalFormatting>
  <conditionalFormatting sqref="C153">
    <cfRule type="expression" priority="216" aboveAverage="0" equalAverage="0" bottom="0" percent="0" rank="0" text="" dxfId="215">
      <formula>$F153&lt;=0</formula>
    </cfRule>
  </conditionalFormatting>
  <conditionalFormatting sqref="C154">
    <cfRule type="expression" priority="217" aboveAverage="0" equalAverage="0" bottom="0" percent="0" rank="0" text="" dxfId="216">
      <formula>$F154&lt;=0</formula>
    </cfRule>
  </conditionalFormatting>
  <conditionalFormatting sqref="C155">
    <cfRule type="expression" priority="218" aboveAverage="0" equalAverage="0" bottom="0" percent="0" rank="0" text="" dxfId="217">
      <formula>$F155&lt;=0</formula>
    </cfRule>
  </conditionalFormatting>
  <conditionalFormatting sqref="C156">
    <cfRule type="expression" priority="219" aboveAverage="0" equalAverage="0" bottom="0" percent="0" rank="0" text="" dxfId="218">
      <formula>$F156&lt;=0</formula>
    </cfRule>
  </conditionalFormatting>
  <conditionalFormatting sqref="C157">
    <cfRule type="expression" priority="220" aboveAverage="0" equalAverage="0" bottom="0" percent="0" rank="0" text="" dxfId="219">
      <formula>$F157&lt;=0</formula>
    </cfRule>
  </conditionalFormatting>
  <conditionalFormatting sqref="C158">
    <cfRule type="expression" priority="221" aboveAverage="0" equalAverage="0" bottom="0" percent="0" rank="0" text="" dxfId="220">
      <formula>$F158&lt;=0</formula>
    </cfRule>
  </conditionalFormatting>
  <conditionalFormatting sqref="C159">
    <cfRule type="expression" priority="222" aboveAverage="0" equalAverage="0" bottom="0" percent="0" rank="0" text="" dxfId="221">
      <formula>$F159&lt;=0</formula>
    </cfRule>
  </conditionalFormatting>
  <conditionalFormatting sqref="C160">
    <cfRule type="expression" priority="223" aboveAverage="0" equalAverage="0" bottom="0" percent="0" rank="0" text="" dxfId="222">
      <formula>$F160&lt;=0</formula>
    </cfRule>
  </conditionalFormatting>
  <conditionalFormatting sqref="C161">
    <cfRule type="expression" priority="224" aboveAverage="0" equalAverage="0" bottom="0" percent="0" rank="0" text="" dxfId="223">
      <formula>$F161&lt;=0</formula>
    </cfRule>
  </conditionalFormatting>
  <conditionalFormatting sqref="C162">
    <cfRule type="expression" priority="225" aboveAverage="0" equalAverage="0" bottom="0" percent="0" rank="0" text="" dxfId="224">
      <formula>$F162&lt;=0</formula>
    </cfRule>
  </conditionalFormatting>
  <conditionalFormatting sqref="C163:C164">
    <cfRule type="expression" priority="226" aboveAverage="0" equalAverage="0" bottom="0" percent="0" rank="0" text="" dxfId="225">
      <formula>$F163&lt;=0</formula>
    </cfRule>
  </conditionalFormatting>
  <conditionalFormatting sqref="C165">
    <cfRule type="expression" priority="227" aboveAverage="0" equalAverage="0" bottom="0" percent="0" rank="0" text="" dxfId="226">
      <formula>$F165&lt;=0</formula>
    </cfRule>
  </conditionalFormatting>
  <conditionalFormatting sqref="C166">
    <cfRule type="expression" priority="228" aboveAverage="0" equalAverage="0" bottom="0" percent="0" rank="0" text="" dxfId="227">
      <formula>$F166&lt;=0</formula>
    </cfRule>
  </conditionalFormatting>
  <conditionalFormatting sqref="C167">
    <cfRule type="expression" priority="229" aboveAverage="0" equalAverage="0" bottom="0" percent="0" rank="0" text="" dxfId="228">
      <formula>$F167&lt;=0</formula>
    </cfRule>
  </conditionalFormatting>
  <conditionalFormatting sqref="C168">
    <cfRule type="expression" priority="230" aboveAverage="0" equalAverage="0" bottom="0" percent="0" rank="0" text="" dxfId="229">
      <formula>$F168&lt;=0</formula>
    </cfRule>
  </conditionalFormatting>
  <conditionalFormatting sqref="C169">
    <cfRule type="expression" priority="231" aboveAverage="0" equalAverage="0" bottom="0" percent="0" rank="0" text="" dxfId="230">
      <formula>$F169&lt;=0</formula>
    </cfRule>
  </conditionalFormatting>
  <conditionalFormatting sqref="C170">
    <cfRule type="expression" priority="232" aboveAverage="0" equalAverage="0" bottom="0" percent="0" rank="0" text="" dxfId="231">
      <formula>$F170&lt;=0</formula>
    </cfRule>
  </conditionalFormatting>
  <conditionalFormatting sqref="C171">
    <cfRule type="expression" priority="233" aboveAverage="0" equalAverage="0" bottom="0" percent="0" rank="0" text="" dxfId="232">
      <formula>$F171&lt;=0</formula>
    </cfRule>
  </conditionalFormatting>
  <conditionalFormatting sqref="C172">
    <cfRule type="expression" priority="234" aboveAverage="0" equalAverage="0" bottom="0" percent="0" rank="0" text="" dxfId="233">
      <formula>$F172&lt;=0</formula>
    </cfRule>
  </conditionalFormatting>
  <conditionalFormatting sqref="C173">
    <cfRule type="expression" priority="235" aboveAverage="0" equalAverage="0" bottom="0" percent="0" rank="0" text="" dxfId="234">
      <formula>$F173&lt;=0</formula>
    </cfRule>
  </conditionalFormatting>
  <conditionalFormatting sqref="C174">
    <cfRule type="expression" priority="236" aboveAverage="0" equalAverage="0" bottom="0" percent="0" rank="0" text="" dxfId="235">
      <formula>$F174&lt;=0</formula>
    </cfRule>
  </conditionalFormatting>
  <conditionalFormatting sqref="C175">
    <cfRule type="expression" priority="237" aboveAverage="0" equalAverage="0" bottom="0" percent="0" rank="0" text="" dxfId="236">
      <formula>$F175&lt;=0</formula>
    </cfRule>
  </conditionalFormatting>
  <conditionalFormatting sqref="C176">
    <cfRule type="expression" priority="238" aboveAverage="0" equalAverage="0" bottom="0" percent="0" rank="0" text="" dxfId="237">
      <formula>$F176&lt;=0</formula>
    </cfRule>
  </conditionalFormatting>
  <conditionalFormatting sqref="C177">
    <cfRule type="expression" priority="239" aboveAverage="0" equalAverage="0" bottom="0" percent="0" rank="0" text="" dxfId="238">
      <formula>$F177&lt;=0</formula>
    </cfRule>
  </conditionalFormatting>
  <conditionalFormatting sqref="C178">
    <cfRule type="expression" priority="240" aboveAverage="0" equalAverage="0" bottom="0" percent="0" rank="0" text="" dxfId="239">
      <formula>$F178&lt;=0</formula>
    </cfRule>
  </conditionalFormatting>
  <conditionalFormatting sqref="C179:C180">
    <cfRule type="expression" priority="241" aboveAverage="0" equalAverage="0" bottom="0" percent="0" rank="0" text="" dxfId="240">
      <formula>$F179&lt;=0</formula>
    </cfRule>
  </conditionalFormatting>
  <conditionalFormatting sqref="C181">
    <cfRule type="expression" priority="242" aboveAverage="0" equalAverage="0" bottom="0" percent="0" rank="0" text="" dxfId="241">
      <formula>$F181&lt;=0</formula>
    </cfRule>
  </conditionalFormatting>
  <conditionalFormatting sqref="C182">
    <cfRule type="expression" priority="243" aboveAverage="0" equalAverage="0" bottom="0" percent="0" rank="0" text="" dxfId="242">
      <formula>$F182&lt;=0</formula>
    </cfRule>
  </conditionalFormatting>
  <conditionalFormatting sqref="C183">
    <cfRule type="expression" priority="244" aboveAverage="0" equalAverage="0" bottom="0" percent="0" rank="0" text="" dxfId="243">
      <formula>$F183&lt;=0</formula>
    </cfRule>
  </conditionalFormatting>
  <conditionalFormatting sqref="C184">
    <cfRule type="expression" priority="245" aboveAverage="0" equalAverage="0" bottom="0" percent="0" rank="0" text="" dxfId="244">
      <formula>$F184&lt;=0</formula>
    </cfRule>
  </conditionalFormatting>
  <conditionalFormatting sqref="C185">
    <cfRule type="expression" priority="246" aboveAverage="0" equalAverage="0" bottom="0" percent="0" rank="0" text="" dxfId="245">
      <formula>$F185&lt;=0</formula>
    </cfRule>
  </conditionalFormatting>
  <conditionalFormatting sqref="C186">
    <cfRule type="expression" priority="247" aboveAverage="0" equalAverage="0" bottom="0" percent="0" rank="0" text="" dxfId="246">
      <formula>$F186&lt;=0</formula>
    </cfRule>
  </conditionalFormatting>
  <conditionalFormatting sqref="C187">
    <cfRule type="expression" priority="248" aboveAverage="0" equalAverage="0" bottom="0" percent="0" rank="0" text="" dxfId="247">
      <formula>$F187&lt;=0</formula>
    </cfRule>
  </conditionalFormatting>
  <conditionalFormatting sqref="C188">
    <cfRule type="expression" priority="249" aboveAverage="0" equalAverage="0" bottom="0" percent="0" rank="0" text="" dxfId="248">
      <formula>$F188&lt;=0</formula>
    </cfRule>
  </conditionalFormatting>
  <conditionalFormatting sqref="C189">
    <cfRule type="expression" priority="250" aboveAverage="0" equalAverage="0" bottom="0" percent="0" rank="0" text="" dxfId="249">
      <formula>$F189&lt;=0</formula>
    </cfRule>
  </conditionalFormatting>
  <conditionalFormatting sqref="C190">
    <cfRule type="expression" priority="251" aboveAverage="0" equalAverage="0" bottom="0" percent="0" rank="0" text="" dxfId="250">
      <formula>$F190&lt;=0</formula>
    </cfRule>
  </conditionalFormatting>
  <conditionalFormatting sqref="C231">
    <cfRule type="expression" priority="252" aboveAverage="0" equalAverage="0" bottom="0" percent="0" rank="0" text="" dxfId="251">
      <formula>$F231&lt;=0</formula>
    </cfRule>
  </conditionalFormatting>
  <conditionalFormatting sqref="C203">
    <cfRule type="expression" priority="253" aboveAverage="0" equalAverage="0" bottom="0" percent="0" rank="0" text="" dxfId="252">
      <formula>$F203&lt;=0</formula>
    </cfRule>
  </conditionalFormatting>
  <conditionalFormatting sqref="C204">
    <cfRule type="expression" priority="254" aboveAverage="0" equalAverage="0" bottom="0" percent="0" rank="0" text="" dxfId="253">
      <formula>$F204&lt;=0</formula>
    </cfRule>
  </conditionalFormatting>
  <conditionalFormatting sqref="C205">
    <cfRule type="expression" priority="255" aboveAverage="0" equalAverage="0" bottom="0" percent="0" rank="0" text="" dxfId="254">
      <formula>$F205&lt;=0</formula>
    </cfRule>
  </conditionalFormatting>
  <conditionalFormatting sqref="C206">
    <cfRule type="expression" priority="256" aboveAverage="0" equalAverage="0" bottom="0" percent="0" rank="0" text="" dxfId="255">
      <formula>$F206&lt;=0</formula>
    </cfRule>
  </conditionalFormatting>
  <conditionalFormatting sqref="C207">
    <cfRule type="expression" priority="257" aboveAverage="0" equalAverage="0" bottom="0" percent="0" rank="0" text="" dxfId="256">
      <formula>$F207&lt;=0</formula>
    </cfRule>
  </conditionalFormatting>
  <conditionalFormatting sqref="C208">
    <cfRule type="expression" priority="258" aboveAverage="0" equalAverage="0" bottom="0" percent="0" rank="0" text="" dxfId="257">
      <formula>$F208&lt;=0</formula>
    </cfRule>
  </conditionalFormatting>
  <conditionalFormatting sqref="C209">
    <cfRule type="expression" priority="259" aboveAverage="0" equalAverage="0" bottom="0" percent="0" rank="0" text="" dxfId="258">
      <formula>$F209&lt;=0</formula>
    </cfRule>
  </conditionalFormatting>
  <conditionalFormatting sqref="C210">
    <cfRule type="expression" priority="260" aboveAverage="0" equalAverage="0" bottom="0" percent="0" rank="0" text="" dxfId="259">
      <formula>$F210&lt;=0</formula>
    </cfRule>
  </conditionalFormatting>
  <conditionalFormatting sqref="C211">
    <cfRule type="expression" priority="261" aboveAverage="0" equalAverage="0" bottom="0" percent="0" rank="0" text="" dxfId="260">
      <formula>$F211&lt;=0</formula>
    </cfRule>
  </conditionalFormatting>
  <conditionalFormatting sqref="C212">
    <cfRule type="expression" priority="262" aboveAverage="0" equalAverage="0" bottom="0" percent="0" rank="0" text="" dxfId="261">
      <formula>$F212&lt;=0</formula>
    </cfRule>
  </conditionalFormatting>
  <conditionalFormatting sqref="C213">
    <cfRule type="expression" priority="263" aboveAverage="0" equalAverage="0" bottom="0" percent="0" rank="0" text="" dxfId="262">
      <formula>$F213&lt;=0</formula>
    </cfRule>
  </conditionalFormatting>
  <conditionalFormatting sqref="C214">
    <cfRule type="expression" priority="264" aboveAverage="0" equalAverage="0" bottom="0" percent="0" rank="0" text="" dxfId="263">
      <formula>$F214&lt;=0</formula>
    </cfRule>
  </conditionalFormatting>
  <conditionalFormatting sqref="C215">
    <cfRule type="expression" priority="265" aboveAverage="0" equalAverage="0" bottom="0" percent="0" rank="0" text="" dxfId="264">
      <formula>$F215&lt;=0</formula>
    </cfRule>
  </conditionalFormatting>
  <conditionalFormatting sqref="C216">
    <cfRule type="expression" priority="266" aboveAverage="0" equalAverage="0" bottom="0" percent="0" rank="0" text="" dxfId="265">
      <formula>$F216&lt;=0</formula>
    </cfRule>
  </conditionalFormatting>
  <conditionalFormatting sqref="C218">
    <cfRule type="expression" priority="267" aboveAverage="0" equalAverage="0" bottom="0" percent="0" rank="0" text="" dxfId="266">
      <formula>$F218&lt;=0</formula>
    </cfRule>
  </conditionalFormatting>
  <conditionalFormatting sqref="C219">
    <cfRule type="expression" priority="268" aboveAverage="0" equalAverage="0" bottom="0" percent="0" rank="0" text="" dxfId="267">
      <formula>$F219&lt;=0</formula>
    </cfRule>
  </conditionalFormatting>
  <conditionalFormatting sqref="C220">
    <cfRule type="expression" priority="269" aboveAverage="0" equalAverage="0" bottom="0" percent="0" rank="0" text="" dxfId="268">
      <formula>$F220&lt;=0</formula>
    </cfRule>
  </conditionalFormatting>
  <conditionalFormatting sqref="C221">
    <cfRule type="expression" priority="270" aboveAverage="0" equalAverage="0" bottom="0" percent="0" rank="0" text="" dxfId="269">
      <formula>$F221&lt;=0</formula>
    </cfRule>
  </conditionalFormatting>
  <conditionalFormatting sqref="C222">
    <cfRule type="expression" priority="271" aboveAverage="0" equalAverage="0" bottom="0" percent="0" rank="0" text="" dxfId="270">
      <formula>$F222&lt;=0</formula>
    </cfRule>
  </conditionalFormatting>
  <conditionalFormatting sqref="C223">
    <cfRule type="expression" priority="272" aboveAverage="0" equalAverage="0" bottom="0" percent="0" rank="0" text="" dxfId="271">
      <formula>$F223&lt;=0</formula>
    </cfRule>
  </conditionalFormatting>
  <conditionalFormatting sqref="C191">
    <cfRule type="expression" priority="273" aboveAverage="0" equalAverage="0" bottom="0" percent="0" rank="0" text="" dxfId="272">
      <formula>$F191&lt;=0</formula>
    </cfRule>
  </conditionalFormatting>
  <conditionalFormatting sqref="C251">
    <cfRule type="expression" priority="274" aboveAverage="0" equalAverage="0" bottom="0" percent="0" rank="0" text="" dxfId="273">
      <formula>$F251&lt;=0</formula>
    </cfRule>
  </conditionalFormatting>
  <conditionalFormatting sqref="C225">
    <cfRule type="expression" priority="275" aboveAverage="0" equalAverage="0" bottom="0" percent="0" rank="0" text="" dxfId="274">
      <formula>$F225&lt;=0</formula>
    </cfRule>
  </conditionalFormatting>
  <conditionalFormatting sqref="C226">
    <cfRule type="expression" priority="276" aboveAverage="0" equalAverage="0" bottom="0" percent="0" rank="0" text="" dxfId="275">
      <formula>$F226&lt;=0</formula>
    </cfRule>
  </conditionalFormatting>
  <conditionalFormatting sqref="C224">
    <cfRule type="expression" priority="277" aboveAverage="0" equalAverage="0" bottom="0" percent="0" rank="0" text="" dxfId="276">
      <formula>$F224&lt;=0</formula>
    </cfRule>
  </conditionalFormatting>
  <conditionalFormatting sqref="C228">
    <cfRule type="expression" priority="278" aboveAverage="0" equalAverage="0" bottom="0" percent="0" rank="0" text="" dxfId="277">
      <formula>$F228&lt;=0</formula>
    </cfRule>
  </conditionalFormatting>
  <conditionalFormatting sqref="C229">
    <cfRule type="expression" priority="279" aboveAverage="0" equalAverage="0" bottom="0" percent="0" rank="0" text="" dxfId="278">
      <formula>$F229&lt;=0</formula>
    </cfRule>
  </conditionalFormatting>
  <conditionalFormatting sqref="C253">
    <cfRule type="expression" priority="280" aboveAverage="0" equalAverage="0" bottom="0" percent="0" rank="0" text="" dxfId="279">
      <formula>$F253&lt;=0</formula>
    </cfRule>
  </conditionalFormatting>
  <conditionalFormatting sqref="C333">
    <cfRule type="expression" priority="281" aboveAverage="0" equalAverage="0" bottom="0" percent="0" rank="0" text="" dxfId="280">
      <formula>$F333&lt;=0</formula>
    </cfRule>
  </conditionalFormatting>
  <conditionalFormatting sqref="C230">
    <cfRule type="expression" priority="282" aboveAverage="0" equalAverage="0" bottom="0" percent="0" rank="0" text="" dxfId="281">
      <formula>$F230&lt;=0</formula>
    </cfRule>
  </conditionalFormatting>
  <conditionalFormatting sqref="C310">
    <cfRule type="expression" priority="283" aboveAverage="0" equalAverage="0" bottom="0" percent="0" rank="0" text="" dxfId="282">
      <formula>$F310&lt;=0</formula>
    </cfRule>
  </conditionalFormatting>
  <conditionalFormatting sqref="C232">
    <cfRule type="expression" priority="284" aboveAverage="0" equalAverage="0" bottom="0" percent="0" rank="0" text="" dxfId="283">
      <formula>$F232&lt;=0</formula>
    </cfRule>
  </conditionalFormatting>
  <conditionalFormatting sqref="C233">
    <cfRule type="expression" priority="285" aboveAverage="0" equalAverage="0" bottom="0" percent="0" rank="0" text="" dxfId="284">
      <formula>$F233&lt;=0</formula>
    </cfRule>
  </conditionalFormatting>
  <conditionalFormatting sqref="C234">
    <cfRule type="expression" priority="286" aboveAverage="0" equalAverage="0" bottom="0" percent="0" rank="0" text="" dxfId="285">
      <formula>$F234&lt;=0</formula>
    </cfRule>
  </conditionalFormatting>
  <conditionalFormatting sqref="C235">
    <cfRule type="expression" priority="287" aboveAverage="0" equalAverage="0" bottom="0" percent="0" rank="0" text="" dxfId="286">
      <formula>$F235&lt;=0</formula>
    </cfRule>
  </conditionalFormatting>
  <conditionalFormatting sqref="C236">
    <cfRule type="expression" priority="288" aboveAverage="0" equalAverage="0" bottom="0" percent="0" rank="0" text="" dxfId="287">
      <formula>$F236&lt;=0</formula>
    </cfRule>
  </conditionalFormatting>
  <conditionalFormatting sqref="C237">
    <cfRule type="expression" priority="289" aboveAverage="0" equalAverage="0" bottom="0" percent="0" rank="0" text="" dxfId="288">
      <formula>$F237&lt;=0</formula>
    </cfRule>
  </conditionalFormatting>
  <conditionalFormatting sqref="C238">
    <cfRule type="expression" priority="290" aboveAverage="0" equalAverage="0" bottom="0" percent="0" rank="0" text="" dxfId="289">
      <formula>$F238&lt;=0</formula>
    </cfRule>
  </conditionalFormatting>
  <conditionalFormatting sqref="C239">
    <cfRule type="expression" priority="291" aboveAverage="0" equalAverage="0" bottom="0" percent="0" rank="0" text="" dxfId="290">
      <formula>$F239&lt;=0</formula>
    </cfRule>
  </conditionalFormatting>
  <conditionalFormatting sqref="C240">
    <cfRule type="expression" priority="292" aboveAverage="0" equalAverage="0" bottom="0" percent="0" rank="0" text="" dxfId="291">
      <formula>$F240&lt;=0</formula>
    </cfRule>
  </conditionalFormatting>
  <conditionalFormatting sqref="C241">
    <cfRule type="expression" priority="293" aboveAverage="0" equalAverage="0" bottom="0" percent="0" rank="0" text="" dxfId="292">
      <formula>$F241&lt;=0</formula>
    </cfRule>
  </conditionalFormatting>
  <conditionalFormatting sqref="C243">
    <cfRule type="expression" priority="294" aboveAverage="0" equalAverage="0" bottom="0" percent="0" rank="0" text="" dxfId="293">
      <formula>$F243&lt;=0</formula>
    </cfRule>
  </conditionalFormatting>
  <conditionalFormatting sqref="C245">
    <cfRule type="expression" priority="295" aboveAverage="0" equalAverage="0" bottom="0" percent="0" rank="0" text="" dxfId="294">
      <formula>$F245&lt;=0</formula>
    </cfRule>
  </conditionalFormatting>
  <conditionalFormatting sqref="C246">
    <cfRule type="expression" priority="296" aboveAverage="0" equalAverage="0" bottom="0" percent="0" rank="0" text="" dxfId="295">
      <formula>$F246&lt;=0</formula>
    </cfRule>
  </conditionalFormatting>
  <conditionalFormatting sqref="C248">
    <cfRule type="expression" priority="297" aboveAverage="0" equalAverage="0" bottom="0" percent="0" rank="0" text="" dxfId="296">
      <formula>$F248&lt;=0</formula>
    </cfRule>
  </conditionalFormatting>
  <conditionalFormatting sqref="C247">
    <cfRule type="expression" priority="298" aboveAverage="0" equalAverage="0" bottom="0" percent="0" rank="0" text="" dxfId="297">
      <formula>$F247&lt;=0</formula>
    </cfRule>
  </conditionalFormatting>
  <conditionalFormatting sqref="C249">
    <cfRule type="expression" priority="299" aboveAverage="0" equalAverage="0" bottom="0" percent="0" rank="0" text="" dxfId="298">
      <formula>$F249&lt;=0</formula>
    </cfRule>
  </conditionalFormatting>
  <conditionalFormatting sqref="C250">
    <cfRule type="expression" priority="300" aboveAverage="0" equalAverage="0" bottom="0" percent="0" rank="0" text="" dxfId="299">
      <formula>$F250&lt;=0</formula>
    </cfRule>
  </conditionalFormatting>
  <conditionalFormatting sqref="C331">
    <cfRule type="expression" priority="301" aboveAverage="0" equalAverage="0" bottom="0" percent="0" rank="0" text="" dxfId="300">
      <formula>$F331&lt;=0</formula>
    </cfRule>
  </conditionalFormatting>
  <conditionalFormatting sqref="C252">
    <cfRule type="expression" priority="302" aboveAverage="0" equalAverage="0" bottom="0" percent="0" rank="0" text="" dxfId="301">
      <formula>$F252&lt;=0</formula>
    </cfRule>
  </conditionalFormatting>
  <conditionalFormatting sqref="C254">
    <cfRule type="expression" priority="303" aboveAverage="0" equalAverage="0" bottom="0" percent="0" rank="0" text="" dxfId="302">
      <formula>$F254&lt;=0</formula>
    </cfRule>
  </conditionalFormatting>
  <conditionalFormatting sqref="C255">
    <cfRule type="expression" priority="304" aboveAverage="0" equalAverage="0" bottom="0" percent="0" rank="0" text="" dxfId="303">
      <formula>$F255&lt;=0</formula>
    </cfRule>
  </conditionalFormatting>
  <conditionalFormatting sqref="C256">
    <cfRule type="expression" priority="305" aboveAverage="0" equalAverage="0" bottom="0" percent="0" rank="0" text="" dxfId="304">
      <formula>$F256&lt;=0</formula>
    </cfRule>
  </conditionalFormatting>
  <conditionalFormatting sqref="C257">
    <cfRule type="expression" priority="306" aboveAverage="0" equalAverage="0" bottom="0" percent="0" rank="0" text="" dxfId="305">
      <formula>$F257&lt;=0</formula>
    </cfRule>
  </conditionalFormatting>
  <conditionalFormatting sqref="C258">
    <cfRule type="expression" priority="307" aboveAverage="0" equalAverage="0" bottom="0" percent="0" rank="0" text="" dxfId="306">
      <formula>$F258&lt;=0</formula>
    </cfRule>
  </conditionalFormatting>
  <conditionalFormatting sqref="C260">
    <cfRule type="expression" priority="308" aboveAverage="0" equalAverage="0" bottom="0" percent="0" rank="0" text="" dxfId="307">
      <formula>$F260&lt;=0</formula>
    </cfRule>
  </conditionalFormatting>
  <conditionalFormatting sqref="C262">
    <cfRule type="expression" priority="309" aboveAverage="0" equalAverage="0" bottom="0" percent="0" rank="0" text="" dxfId="308">
      <formula>$F262&lt;=0</formula>
    </cfRule>
  </conditionalFormatting>
  <conditionalFormatting sqref="C263:C264">
    <cfRule type="expression" priority="310" aboveAverage="0" equalAverage="0" bottom="0" percent="0" rank="0" text="" dxfId="309">
      <formula>$F263&lt;=0</formula>
    </cfRule>
  </conditionalFormatting>
  <conditionalFormatting sqref="C265:C266">
    <cfRule type="expression" priority="311" aboveAverage="0" equalAverage="0" bottom="0" percent="0" rank="0" text="" dxfId="310">
      <formula>$F265&lt;=0</formula>
    </cfRule>
  </conditionalFormatting>
  <conditionalFormatting sqref="C267">
    <cfRule type="expression" priority="312" aboveAverage="0" equalAverage="0" bottom="0" percent="0" rank="0" text="" dxfId="311">
      <formula>$F267&lt;=0</formula>
    </cfRule>
  </conditionalFormatting>
  <conditionalFormatting sqref="C268">
    <cfRule type="expression" priority="313" aboveAverage="0" equalAverage="0" bottom="0" percent="0" rank="0" text="" dxfId="312">
      <formula>$F268&lt;=0</formula>
    </cfRule>
  </conditionalFormatting>
  <conditionalFormatting sqref="C269">
    <cfRule type="expression" priority="314" aboveAverage="0" equalAverage="0" bottom="0" percent="0" rank="0" text="" dxfId="313">
      <formula>$F269&lt;=0</formula>
    </cfRule>
  </conditionalFormatting>
  <conditionalFormatting sqref="C270">
    <cfRule type="expression" priority="315" aboveAverage="0" equalAverage="0" bottom="0" percent="0" rank="0" text="" dxfId="314">
      <formula>$F270&lt;=0</formula>
    </cfRule>
  </conditionalFormatting>
  <conditionalFormatting sqref="C271">
    <cfRule type="expression" priority="316" aboveAverage="0" equalAverage="0" bottom="0" percent="0" rank="0" text="" dxfId="315">
      <formula>$F271&lt;=0</formula>
    </cfRule>
  </conditionalFormatting>
  <conditionalFormatting sqref="C273">
    <cfRule type="expression" priority="317" aboveAverage="0" equalAverage="0" bottom="0" percent="0" rank="0" text="" dxfId="316">
      <formula>$F273&lt;=0</formula>
    </cfRule>
  </conditionalFormatting>
  <conditionalFormatting sqref="C275:C276">
    <cfRule type="expression" priority="318" aboveAverage="0" equalAverage="0" bottom="0" percent="0" rank="0" text="" dxfId="317">
      <formula>$F275&lt;=0</formula>
    </cfRule>
  </conditionalFormatting>
  <conditionalFormatting sqref="C277">
    <cfRule type="expression" priority="319" aboveAverage="0" equalAverage="0" bottom="0" percent="0" rank="0" text="" dxfId="318">
      <formula>$F277&lt;=0</formula>
    </cfRule>
  </conditionalFormatting>
  <conditionalFormatting sqref="C278">
    <cfRule type="expression" priority="320" aboveAverage="0" equalAverage="0" bottom="0" percent="0" rank="0" text="" dxfId="319">
      <formula>$F278&lt;=0</formula>
    </cfRule>
  </conditionalFormatting>
  <conditionalFormatting sqref="C279">
    <cfRule type="expression" priority="321" aboveAverage="0" equalAverage="0" bottom="0" percent="0" rank="0" text="" dxfId="320">
      <formula>$F279&lt;=0</formula>
    </cfRule>
  </conditionalFormatting>
  <conditionalFormatting sqref="C280">
    <cfRule type="expression" priority="322" aboveAverage="0" equalAverage="0" bottom="0" percent="0" rank="0" text="" dxfId="321">
      <formula>$F280&lt;=0</formula>
    </cfRule>
  </conditionalFormatting>
  <conditionalFormatting sqref="C282">
    <cfRule type="expression" priority="323" aboveAverage="0" equalAverage="0" bottom="0" percent="0" rank="0" text="" dxfId="322">
      <formula>$F282&lt;=0</formula>
    </cfRule>
  </conditionalFormatting>
  <conditionalFormatting sqref="C281">
    <cfRule type="expression" priority="324" aboveAverage="0" equalAverage="0" bottom="0" percent="0" rank="0" text="" dxfId="323">
      <formula>$F281&lt;=0</formula>
    </cfRule>
  </conditionalFormatting>
  <conditionalFormatting sqref="C283">
    <cfRule type="expression" priority="325" aboveAverage="0" equalAverage="0" bottom="0" percent="0" rank="0" text="" dxfId="324">
      <formula>$F283&lt;=0</formula>
    </cfRule>
  </conditionalFormatting>
  <conditionalFormatting sqref="C284">
    <cfRule type="expression" priority="326" aboveAverage="0" equalAverage="0" bottom="0" percent="0" rank="0" text="" dxfId="325">
      <formula>$F284&lt;=0</formula>
    </cfRule>
  </conditionalFormatting>
  <conditionalFormatting sqref="C285">
    <cfRule type="expression" priority="327" aboveAverage="0" equalAverage="0" bottom="0" percent="0" rank="0" text="" dxfId="326">
      <formula>$F285&lt;=0</formula>
    </cfRule>
  </conditionalFormatting>
  <conditionalFormatting sqref="C288">
    <cfRule type="expression" priority="328" aboveAverage="0" equalAverage="0" bottom="0" percent="0" rank="0" text="" dxfId="327">
      <formula>$F288&lt;=0</formula>
    </cfRule>
  </conditionalFormatting>
  <conditionalFormatting sqref="C289">
    <cfRule type="expression" priority="329" aboveAverage="0" equalAverage="0" bottom="0" percent="0" rank="0" text="" dxfId="328">
      <formula>$F289&lt;=0</formula>
    </cfRule>
  </conditionalFormatting>
  <conditionalFormatting sqref="C290">
    <cfRule type="expression" priority="330" aboveAverage="0" equalAverage="0" bottom="0" percent="0" rank="0" text="" dxfId="329">
      <formula>$F290&lt;=0</formula>
    </cfRule>
  </conditionalFormatting>
  <conditionalFormatting sqref="C291">
    <cfRule type="expression" priority="331" aboveAverage="0" equalAverage="0" bottom="0" percent="0" rank="0" text="" dxfId="330">
      <formula>$F291&lt;=0</formula>
    </cfRule>
  </conditionalFormatting>
  <conditionalFormatting sqref="C292">
    <cfRule type="expression" priority="332" aboveAverage="0" equalAverage="0" bottom="0" percent="0" rank="0" text="" dxfId="331">
      <formula>$F292&lt;=0</formula>
    </cfRule>
  </conditionalFormatting>
  <conditionalFormatting sqref="C294">
    <cfRule type="expression" priority="333" aboveAverage="0" equalAverage="0" bottom="0" percent="0" rank="0" text="" dxfId="332">
      <formula>$F294&lt;=0</formula>
    </cfRule>
  </conditionalFormatting>
  <conditionalFormatting sqref="C293">
    <cfRule type="expression" priority="334" aboveAverage="0" equalAverage="0" bottom="0" percent="0" rank="0" text="" dxfId="333">
      <formula>$F293&lt;=0</formula>
    </cfRule>
  </conditionalFormatting>
  <conditionalFormatting sqref="C295">
    <cfRule type="expression" priority="335" aboveAverage="0" equalAverage="0" bottom="0" percent="0" rank="0" text="" dxfId="334">
      <formula>$F295&lt;=0</formula>
    </cfRule>
  </conditionalFormatting>
  <conditionalFormatting sqref="C299">
    <cfRule type="expression" priority="336" aboveAverage="0" equalAverage="0" bottom="0" percent="0" rank="0" text="" dxfId="335">
      <formula>$F299&lt;=0</formula>
    </cfRule>
  </conditionalFormatting>
  <conditionalFormatting sqref="C300">
    <cfRule type="expression" priority="337" aboveAverage="0" equalAverage="0" bottom="0" percent="0" rank="0" text="" dxfId="336">
      <formula>$F300&lt;=0</formula>
    </cfRule>
  </conditionalFormatting>
  <conditionalFormatting sqref="C301">
    <cfRule type="expression" priority="338" aboveAverage="0" equalAverage="0" bottom="0" percent="0" rank="0" text="" dxfId="337">
      <formula>$F301&lt;=0</formula>
    </cfRule>
  </conditionalFormatting>
  <conditionalFormatting sqref="C302">
    <cfRule type="expression" priority="339" aboveAverage="0" equalAverage="0" bottom="0" percent="0" rank="0" text="" dxfId="338">
      <formula>$F302&lt;=0</formula>
    </cfRule>
  </conditionalFormatting>
  <conditionalFormatting sqref="C303">
    <cfRule type="expression" priority="340" aboveAverage="0" equalAverage="0" bottom="0" percent="0" rank="0" text="" dxfId="339">
      <formula>$F303&lt;=0</formula>
    </cfRule>
  </conditionalFormatting>
  <conditionalFormatting sqref="C304">
    <cfRule type="expression" priority="341" aboveAverage="0" equalAverage="0" bottom="0" percent="0" rank="0" text="" dxfId="340">
      <formula>$F304&lt;=0</formula>
    </cfRule>
  </conditionalFormatting>
  <conditionalFormatting sqref="C305">
    <cfRule type="expression" priority="342" aboveAverage="0" equalAverage="0" bottom="0" percent="0" rank="0" text="" dxfId="341">
      <formula>$F305&lt;=0</formula>
    </cfRule>
  </conditionalFormatting>
  <conditionalFormatting sqref="C306">
    <cfRule type="expression" priority="343" aboveAverage="0" equalAverage="0" bottom="0" percent="0" rank="0" text="" dxfId="342">
      <formula>$F306&lt;=0</formula>
    </cfRule>
  </conditionalFormatting>
  <conditionalFormatting sqref="C307">
    <cfRule type="expression" priority="344" aboveAverage="0" equalAverage="0" bottom="0" percent="0" rank="0" text="" dxfId="343">
      <formula>$F307&lt;=0</formula>
    </cfRule>
  </conditionalFormatting>
  <conditionalFormatting sqref="C308">
    <cfRule type="expression" priority="345" aboveAverage="0" equalAverage="0" bottom="0" percent="0" rank="0" text="" dxfId="344">
      <formula>$F308&lt;=0</formula>
    </cfRule>
  </conditionalFormatting>
  <conditionalFormatting sqref="C309">
    <cfRule type="expression" priority="346" aboveAverage="0" equalAverage="0" bottom="0" percent="0" rank="0" text="" dxfId="345">
      <formula>$F309&lt;=0</formula>
    </cfRule>
  </conditionalFormatting>
  <conditionalFormatting sqref="C311">
    <cfRule type="expression" priority="347" aboveAverage="0" equalAverage="0" bottom="0" percent="0" rank="0" text="" dxfId="346">
      <formula>$F311&lt;=0</formula>
    </cfRule>
  </conditionalFormatting>
  <conditionalFormatting sqref="C314">
    <cfRule type="expression" priority="348" aboveAverage="0" equalAverage="0" bottom="0" percent="0" rank="0" text="" dxfId="347">
      <formula>$F314&lt;=0</formula>
    </cfRule>
  </conditionalFormatting>
  <conditionalFormatting sqref="C315">
    <cfRule type="expression" priority="349" aboveAverage="0" equalAverage="0" bottom="0" percent="0" rank="0" text="" dxfId="348">
      <formula>$F315&lt;=0</formula>
    </cfRule>
  </conditionalFormatting>
  <conditionalFormatting sqref="C316">
    <cfRule type="expression" priority="350" aboveAverage="0" equalAverage="0" bottom="0" percent="0" rank="0" text="" dxfId="349">
      <formula>$F316&lt;=0</formula>
    </cfRule>
  </conditionalFormatting>
  <conditionalFormatting sqref="C317">
    <cfRule type="expression" priority="351" aboveAverage="0" equalAverage="0" bottom="0" percent="0" rank="0" text="" dxfId="350">
      <formula>$F317&lt;=0</formula>
    </cfRule>
  </conditionalFormatting>
  <conditionalFormatting sqref="C318">
    <cfRule type="expression" priority="352" aboveAverage="0" equalAverage="0" bottom="0" percent="0" rank="0" text="" dxfId="351">
      <formula>$F318&lt;=0</formula>
    </cfRule>
  </conditionalFormatting>
  <conditionalFormatting sqref="C319">
    <cfRule type="expression" priority="353" aboveAverage="0" equalAverage="0" bottom="0" percent="0" rank="0" text="" dxfId="352">
      <formula>$F319&lt;=0</formula>
    </cfRule>
  </conditionalFormatting>
  <conditionalFormatting sqref="C320">
    <cfRule type="expression" priority="354" aboveAverage="0" equalAverage="0" bottom="0" percent="0" rank="0" text="" dxfId="353">
      <formula>$F320&lt;=0</formula>
    </cfRule>
  </conditionalFormatting>
  <conditionalFormatting sqref="C321">
    <cfRule type="expression" priority="355" aboveAverage="0" equalAverage="0" bottom="0" percent="0" rank="0" text="" dxfId="354">
      <formula>$F321&lt;=0</formula>
    </cfRule>
  </conditionalFormatting>
  <conditionalFormatting sqref="C322">
    <cfRule type="expression" priority="356" aboveAverage="0" equalAverage="0" bottom="0" percent="0" rank="0" text="" dxfId="355">
      <formula>$F322&lt;=0</formula>
    </cfRule>
  </conditionalFormatting>
  <conditionalFormatting sqref="C323">
    <cfRule type="expression" priority="357" aboveAverage="0" equalAverage="0" bottom="0" percent="0" rank="0" text="" dxfId="356">
      <formula>$F323&lt;=0</formula>
    </cfRule>
  </conditionalFormatting>
  <conditionalFormatting sqref="C324">
    <cfRule type="expression" priority="358" aboveAverage="0" equalAverage="0" bottom="0" percent="0" rank="0" text="" dxfId="357">
      <formula>$F324&lt;=0</formula>
    </cfRule>
  </conditionalFormatting>
  <conditionalFormatting sqref="C325">
    <cfRule type="expression" priority="359" aboveAverage="0" equalAverage="0" bottom="0" percent="0" rank="0" text="" dxfId="358">
      <formula>$F325&lt;=0</formula>
    </cfRule>
  </conditionalFormatting>
  <conditionalFormatting sqref="C326">
    <cfRule type="expression" priority="360" aboveAverage="0" equalAverage="0" bottom="0" percent="0" rank="0" text="" dxfId="359">
      <formula>$F326&lt;=0</formula>
    </cfRule>
  </conditionalFormatting>
  <conditionalFormatting sqref="C327">
    <cfRule type="expression" priority="361" aboveAverage="0" equalAverage="0" bottom="0" percent="0" rank="0" text="" dxfId="360">
      <formula>$F327&lt;=0</formula>
    </cfRule>
  </conditionalFormatting>
  <conditionalFormatting sqref="C328">
    <cfRule type="expression" priority="362" aboveAverage="0" equalAverage="0" bottom="0" percent="0" rank="0" text="" dxfId="361">
      <formula>$F328&lt;=0</formula>
    </cfRule>
  </conditionalFormatting>
  <conditionalFormatting sqref="C330">
    <cfRule type="expression" priority="363" aboveAverage="0" equalAverage="0" bottom="0" percent="0" rank="0" text="" dxfId="362">
      <formula>$F330&lt;=0</formula>
    </cfRule>
  </conditionalFormatting>
  <conditionalFormatting sqref="C332">
    <cfRule type="expression" priority="364" aboveAverage="0" equalAverage="0" bottom="0" percent="0" rank="0" text="" dxfId="363">
      <formula>$F332&lt;=0</formula>
    </cfRule>
  </conditionalFormatting>
  <conditionalFormatting sqref="C334">
    <cfRule type="expression" priority="365" aboveAverage="0" equalAverage="0" bottom="0" percent="0" rank="0" text="" dxfId="364">
      <formula>$F334&lt;=0</formula>
    </cfRule>
  </conditionalFormatting>
  <conditionalFormatting sqref="C335">
    <cfRule type="expression" priority="366" aboveAverage="0" equalAverage="0" bottom="0" percent="0" rank="0" text="" dxfId="365">
      <formula>$F335&lt;=0</formula>
    </cfRule>
  </conditionalFormatting>
  <conditionalFormatting sqref="C336">
    <cfRule type="expression" priority="367" aboveAverage="0" equalAverage="0" bottom="0" percent="0" rank="0" text="" dxfId="366">
      <formula>$F336&lt;=0</formula>
    </cfRule>
  </conditionalFormatting>
  <conditionalFormatting sqref="C337">
    <cfRule type="expression" priority="368" aboveAverage="0" equalAverage="0" bottom="0" percent="0" rank="0" text="" dxfId="367">
      <formula>$F337&lt;=0</formula>
    </cfRule>
  </conditionalFormatting>
  <conditionalFormatting sqref="C338">
    <cfRule type="expression" priority="369" aboveAverage="0" equalAverage="0" bottom="0" percent="0" rank="0" text="" dxfId="368">
      <formula>$F338&lt;=0</formula>
    </cfRule>
  </conditionalFormatting>
  <conditionalFormatting sqref="C192">
    <cfRule type="expression" priority="370" aboveAverage="0" equalAverage="0" bottom="0" percent="0" rank="0" text="" dxfId="369">
      <formula>$F192&lt;=0</formula>
    </cfRule>
  </conditionalFormatting>
  <conditionalFormatting sqref="C195">
    <cfRule type="expression" priority="371" aboveAverage="0" equalAverage="0" bottom="0" percent="0" rank="0" text="" dxfId="370">
      <formula>$F195&lt;=0</formula>
    </cfRule>
  </conditionalFormatting>
  <conditionalFormatting sqref="C197">
    <cfRule type="expression" priority="372" aboveAverage="0" equalAverage="0" bottom="0" percent="0" rank="0" text="" dxfId="371">
      <formula>$F197&lt;=0</formula>
    </cfRule>
  </conditionalFormatting>
  <conditionalFormatting sqref="C198">
    <cfRule type="expression" priority="373" aboveAverage="0" equalAverage="0" bottom="0" percent="0" rank="0" text="" dxfId="372">
      <formula>$F198&lt;=0</formula>
    </cfRule>
  </conditionalFormatting>
  <conditionalFormatting sqref="C199">
    <cfRule type="expression" priority="374" aboveAverage="0" equalAverage="0" bottom="0" percent="0" rank="0" text="" dxfId="373">
      <formula>$F199&lt;=0</formula>
    </cfRule>
  </conditionalFormatting>
  <conditionalFormatting sqref="C200">
    <cfRule type="expression" priority="375" aboveAverage="0" equalAverage="0" bottom="0" percent="0" rank="0" text="" dxfId="374">
      <formula>$F200&lt;=0</formula>
    </cfRule>
  </conditionalFormatting>
  <conditionalFormatting sqref="C201">
    <cfRule type="expression" priority="376" aboveAverage="0" equalAverage="0" bottom="0" percent="0" rank="0" text="" dxfId="375">
      <formula>$F201&lt;=0</formula>
    </cfRule>
  </conditionalFormatting>
  <conditionalFormatting sqref="C202">
    <cfRule type="expression" priority="377" aboveAverage="0" equalAverage="0" bottom="0" percent="0" rank="0" text="" dxfId="376">
      <formula>$F202&lt;=0</formula>
    </cfRule>
  </conditionalFormatting>
  <conditionalFormatting sqref="C339">
    <cfRule type="expression" priority="378" aboveAverage="0" equalAverage="0" bottom="0" percent="0" rank="0" text="" dxfId="377">
      <formula>$F339&lt;=0</formula>
    </cfRule>
  </conditionalFormatting>
  <conditionalFormatting sqref="C340">
    <cfRule type="expression" priority="379" aboveAverage="0" equalAverage="0" bottom="0" percent="0" rank="0" text="" dxfId="378">
      <formula>$F340&lt;=0</formula>
    </cfRule>
  </conditionalFormatting>
  <conditionalFormatting sqref="C341">
    <cfRule type="expression" priority="380" aboveAverage="0" equalAverage="0" bottom="0" percent="0" rank="0" text="" dxfId="379">
      <formula>$F341&lt;=0</formula>
    </cfRule>
  </conditionalFormatting>
  <conditionalFormatting sqref="C342">
    <cfRule type="expression" priority="381" aboveAverage="0" equalAverage="0" bottom="0" percent="0" rank="0" text="" dxfId="380">
      <formula>$F342&lt;=0</formula>
    </cfRule>
  </conditionalFormatting>
  <conditionalFormatting sqref="C343">
    <cfRule type="expression" priority="382" aboveAverage="0" equalAverage="0" bottom="0" percent="0" rank="0" text="" dxfId="381">
      <formula>$F343&lt;=0</formula>
    </cfRule>
  </conditionalFormatting>
  <conditionalFormatting sqref="C346">
    <cfRule type="expression" priority="383" aboveAverage="0" equalAverage="0" bottom="0" percent="0" rank="0" text="" dxfId="382">
      <formula>$F346&lt;=0</formula>
    </cfRule>
  </conditionalFormatting>
  <conditionalFormatting sqref="C347">
    <cfRule type="expression" priority="384" aboveAverage="0" equalAverage="0" bottom="0" percent="0" rank="0" text="" dxfId="383">
      <formula>$F347&lt;=0</formula>
    </cfRule>
  </conditionalFormatting>
  <conditionalFormatting sqref="C348">
    <cfRule type="expression" priority="385" aboveAverage="0" equalAverage="0" bottom="0" percent="0" rank="0" text="" dxfId="384">
      <formula>$F348&lt;=0</formula>
    </cfRule>
  </conditionalFormatting>
  <conditionalFormatting sqref="C349">
    <cfRule type="expression" priority="386" aboveAverage="0" equalAverage="0" bottom="0" percent="0" rank="0" text="" dxfId="385">
      <formula>$F349&lt;=0</formula>
    </cfRule>
  </conditionalFormatting>
  <conditionalFormatting sqref="C350">
    <cfRule type="expression" priority="387" aboveAverage="0" equalAverage="0" bottom="0" percent="0" rank="0" text="" dxfId="386">
      <formula>$F350&lt;=0</formula>
    </cfRule>
  </conditionalFormatting>
  <conditionalFormatting sqref="C351">
    <cfRule type="expression" priority="388" aboveAverage="0" equalAverage="0" bottom="0" percent="0" rank="0" text="" dxfId="387">
      <formula>$F351&lt;=0</formula>
    </cfRule>
  </conditionalFormatting>
  <conditionalFormatting sqref="C352">
    <cfRule type="expression" priority="389" aboveAverage="0" equalAverage="0" bottom="0" percent="0" rank="0" text="" dxfId="388">
      <formula>$F352&lt;=0</formula>
    </cfRule>
  </conditionalFormatting>
  <conditionalFormatting sqref="C353">
    <cfRule type="expression" priority="390" aboveAverage="0" equalAverage="0" bottom="0" percent="0" rank="0" text="" dxfId="389">
      <formula>$F353&lt;=0</formula>
    </cfRule>
  </conditionalFormatting>
  <conditionalFormatting sqref="C354">
    <cfRule type="expression" priority="391" aboveAverage="0" equalAverage="0" bottom="0" percent="0" rank="0" text="" dxfId="390">
      <formula>$F354&lt;=0</formula>
    </cfRule>
  </conditionalFormatting>
  <conditionalFormatting sqref="C355">
    <cfRule type="expression" priority="392" aboveAverage="0" equalAverage="0" bottom="0" percent="0" rank="0" text="" dxfId="391">
      <formula>$F355&lt;=0</formula>
    </cfRule>
  </conditionalFormatting>
  <conditionalFormatting sqref="C356">
    <cfRule type="expression" priority="393" aboveAverage="0" equalAverage="0" bottom="0" percent="0" rank="0" text="" dxfId="392">
      <formula>$F356&lt;=0</formula>
    </cfRule>
  </conditionalFormatting>
  <conditionalFormatting sqref="C357">
    <cfRule type="expression" priority="394" aboveAverage="0" equalAverage="0" bottom="0" percent="0" rank="0" text="" dxfId="393">
      <formula>$F357&lt;=0</formula>
    </cfRule>
  </conditionalFormatting>
  <conditionalFormatting sqref="C358">
    <cfRule type="expression" priority="395" aboveAverage="0" equalAverage="0" bottom="0" percent="0" rank="0" text="" dxfId="394">
      <formula>$F358&lt;=0</formula>
    </cfRule>
  </conditionalFormatting>
  <conditionalFormatting sqref="C361">
    <cfRule type="expression" priority="396" aboveAverage="0" equalAverage="0" bottom="0" percent="0" rank="0" text="" dxfId="395">
      <formula>$F361&lt;=0</formula>
    </cfRule>
  </conditionalFormatting>
  <conditionalFormatting sqref="C362">
    <cfRule type="expression" priority="397" aboveAverage="0" equalAverage="0" bottom="0" percent="0" rank="0" text="" dxfId="396">
      <formula>$F362&lt;=0</formula>
    </cfRule>
  </conditionalFormatting>
  <conditionalFormatting sqref="C363">
    <cfRule type="expression" priority="398" aboveAverage="0" equalAverage="0" bottom="0" percent="0" rank="0" text="" dxfId="397">
      <formula>$F363&lt;=0</formula>
    </cfRule>
  </conditionalFormatting>
  <conditionalFormatting sqref="C364">
    <cfRule type="expression" priority="399" aboveAverage="0" equalAverage="0" bottom="0" percent="0" rank="0" text="" dxfId="398">
      <formula>$F364&lt;=0</formula>
    </cfRule>
  </conditionalFormatting>
  <conditionalFormatting sqref="C365">
    <cfRule type="expression" priority="400" aboveAverage="0" equalAverage="0" bottom="0" percent="0" rank="0" text="" dxfId="399">
      <formula>$F365&lt;=0</formula>
    </cfRule>
  </conditionalFormatting>
  <conditionalFormatting sqref="C369">
    <cfRule type="expression" priority="401" aboveAverage="0" equalAverage="0" bottom="0" percent="0" rank="0" text="" dxfId="400">
      <formula>$F369&lt;=0</formula>
    </cfRule>
  </conditionalFormatting>
  <conditionalFormatting sqref="C368">
    <cfRule type="expression" priority="402" aboveAverage="0" equalAverage="0" bottom="0" percent="0" rank="0" text="" dxfId="401">
      <formula>$F368&lt;=0</formula>
    </cfRule>
  </conditionalFormatting>
  <conditionalFormatting sqref="C371:C372">
    <cfRule type="expression" priority="403" aboveAverage="0" equalAverage="0" bottom="0" percent="0" rank="0" text="" dxfId="402">
      <formula>$F371&lt;=0</formula>
    </cfRule>
  </conditionalFormatting>
  <conditionalFormatting sqref="C375:C376">
    <cfRule type="expression" priority="404" aboveAverage="0" equalAverage="0" bottom="0" percent="0" rank="0" text="" dxfId="403">
      <formula>$F375&lt;=0</formula>
    </cfRule>
  </conditionalFormatting>
  <conditionalFormatting sqref="C377">
    <cfRule type="expression" priority="405" aboveAverage="0" equalAverage="0" bottom="0" percent="0" rank="0" text="" dxfId="404">
      <formula>$F377&lt;=0</formula>
    </cfRule>
  </conditionalFormatting>
  <conditionalFormatting sqref="C378">
    <cfRule type="expression" priority="406" aboveAverage="0" equalAverage="0" bottom="0" percent="0" rank="0" text="" dxfId="405">
      <formula>$F378&lt;=0</formula>
    </cfRule>
  </conditionalFormatting>
  <conditionalFormatting sqref="C379">
    <cfRule type="expression" priority="407" aboveAverage="0" equalAverage="0" bottom="0" percent="0" rank="0" text="" dxfId="406">
      <formula>$F379&lt;=0</formula>
    </cfRule>
  </conditionalFormatting>
  <conditionalFormatting sqref="C380">
    <cfRule type="expression" priority="408" aboveAverage="0" equalAverage="0" bottom="0" percent="0" rank="0" text="" dxfId="407">
      <formula>$F380&lt;=0</formula>
    </cfRule>
  </conditionalFormatting>
  <conditionalFormatting sqref="C381">
    <cfRule type="expression" priority="409" aboveAverage="0" equalAverage="0" bottom="0" percent="0" rank="0" text="" dxfId="408">
      <formula>$F381&lt;=0</formula>
    </cfRule>
  </conditionalFormatting>
  <conditionalFormatting sqref="C382">
    <cfRule type="expression" priority="410" aboveAverage="0" equalAverage="0" bottom="0" percent="0" rank="0" text="" dxfId="409">
      <formula>$F382&lt;=0</formula>
    </cfRule>
  </conditionalFormatting>
  <conditionalFormatting sqref="C383">
    <cfRule type="expression" priority="411" aboveAverage="0" equalAverage="0" bottom="0" percent="0" rank="0" text="" dxfId="410">
      <formula>$F383&lt;=0</formula>
    </cfRule>
  </conditionalFormatting>
  <conditionalFormatting sqref="C384">
    <cfRule type="expression" priority="412" aboveAverage="0" equalAverage="0" bottom="0" percent="0" rank="0" text="" dxfId="411">
      <formula>$F384&lt;=0</formula>
    </cfRule>
  </conditionalFormatting>
  <conditionalFormatting sqref="C385">
    <cfRule type="expression" priority="413" aboveAverage="0" equalAverage="0" bottom="0" percent="0" rank="0" text="" dxfId="412">
      <formula>$F385&lt;=0</formula>
    </cfRule>
  </conditionalFormatting>
  <conditionalFormatting sqref="C386">
    <cfRule type="expression" priority="414" aboveAverage="0" equalAverage="0" bottom="0" percent="0" rank="0" text="" dxfId="413">
      <formula>$F386&lt;=0</formula>
    </cfRule>
  </conditionalFormatting>
  <conditionalFormatting sqref="C387">
    <cfRule type="expression" priority="415" aboveAverage="0" equalAverage="0" bottom="0" percent="0" rank="0" text="" dxfId="414">
      <formula>$F387&lt;=0</formula>
    </cfRule>
  </conditionalFormatting>
  <conditionalFormatting sqref="C388">
    <cfRule type="expression" priority="416" aboveAverage="0" equalAverage="0" bottom="0" percent="0" rank="0" text="" dxfId="415">
      <formula>$F388&lt;=0</formula>
    </cfRule>
  </conditionalFormatting>
  <conditionalFormatting sqref="C389">
    <cfRule type="expression" priority="417" aboveAverage="0" equalAverage="0" bottom="0" percent="0" rank="0" text="" dxfId="416">
      <formula>$F389&lt;=0</formula>
    </cfRule>
  </conditionalFormatting>
  <conditionalFormatting sqref="C390">
    <cfRule type="expression" priority="418" aboveAverage="0" equalAverage="0" bottom="0" percent="0" rank="0" text="" dxfId="417">
      <formula>$F390&lt;=0</formula>
    </cfRule>
  </conditionalFormatting>
  <conditionalFormatting sqref="C391:C392">
    <cfRule type="expression" priority="419" aboveAverage="0" equalAverage="0" bottom="0" percent="0" rank="0" text="" dxfId="418">
      <formula>$F391&lt;=0</formula>
    </cfRule>
  </conditionalFormatting>
  <conditionalFormatting sqref="C393:C395">
    <cfRule type="expression" priority="420" aboveAverage="0" equalAverage="0" bottom="0" percent="0" rank="0" text="" dxfId="419">
      <formula>$F393&lt;=0</formula>
    </cfRule>
  </conditionalFormatting>
  <conditionalFormatting sqref="C398">
    <cfRule type="expression" priority="421" aboveAverage="0" equalAverage="0" bottom="0" percent="0" rank="0" text="" dxfId="420">
      <formula>$F398&lt;=0</formula>
    </cfRule>
  </conditionalFormatting>
  <conditionalFormatting sqref="C399 C402 C404:C409">
    <cfRule type="expression" priority="422" aboveAverage="0" equalAverage="0" bottom="0" percent="0" rank="0" text="" dxfId="421">
      <formula>$F399&lt;=0</formula>
    </cfRule>
  </conditionalFormatting>
  <conditionalFormatting sqref="C396">
    <cfRule type="expression" priority="423" aboveAverage="0" equalAverage="0" bottom="0" percent="0" rank="0" text="" dxfId="422">
      <formula>$F396&lt;=0</formula>
    </cfRule>
  </conditionalFormatting>
  <conditionalFormatting sqref="C397">
    <cfRule type="expression" priority="424" aboveAverage="0" equalAverage="0" bottom="0" percent="0" rank="0" text="" dxfId="423">
      <formula>$F397&lt;=0</formula>
    </cfRule>
  </conditionalFormatting>
  <conditionalFormatting sqref="C400">
    <cfRule type="expression" priority="425" aboveAverage="0" equalAverage="0" bottom="0" percent="0" rank="0" text="" dxfId="424">
      <formula>$F400&lt;=0</formula>
    </cfRule>
  </conditionalFormatting>
  <conditionalFormatting sqref="C401">
    <cfRule type="expression" priority="426" aboveAverage="0" equalAverage="0" bottom="0" percent="0" rank="0" text="" dxfId="425">
      <formula>$F401&lt;=0</formula>
    </cfRule>
  </conditionalFormatting>
  <conditionalFormatting sqref="C403">
    <cfRule type="expression" priority="427" aboveAverage="0" equalAverage="0" bottom="0" percent="0" rank="0" text="" dxfId="426">
      <formula>$F403&lt;=0</formula>
    </cfRule>
  </conditionalFormatting>
  <conditionalFormatting sqref="C555 C577">
    <cfRule type="expression" priority="428" aboveAverage="0" equalAverage="0" bottom="0" percent="0" rank="0" text="" dxfId="427">
      <formula>#ref!&lt;=0</formula>
    </cfRule>
  </conditionalFormatting>
  <conditionalFormatting sqref="C555 C577">
    <cfRule type="expression" priority="429" aboveAverage="0" equalAverage="0" bottom="0" percent="0" rank="0" text="" dxfId="428">
      <formula>#ref!&lt;=0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3:F4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3" activeCellId="0" sqref="C13"/>
    </sheetView>
  </sheetViews>
  <sheetFormatPr defaultColWidth="10.5390625" defaultRowHeight="15" zeroHeight="false" outlineLevelRow="0" outlineLevelCol="0"/>
  <cols>
    <col collapsed="false" customWidth="true" hidden="false" outlineLevel="0" max="1" min="1" style="0" width="30.86"/>
    <col collapsed="false" customWidth="true" hidden="false" outlineLevel="0" max="2" min="2" style="0" width="11.57"/>
    <col collapsed="false" customWidth="true" hidden="false" outlineLevel="0" max="3" min="3" style="0" width="21.57"/>
    <col collapsed="false" customWidth="true" hidden="false" outlineLevel="0" max="4" min="4" style="0" width="42.85"/>
  </cols>
  <sheetData>
    <row r="3" customFormat="false" ht="18.75" hidden="false" customHeight="false" outlineLevel="0" collapsed="false">
      <c r="A3" s="20" t="s">
        <v>151</v>
      </c>
      <c r="B3" s="20" t="s">
        <v>152</v>
      </c>
      <c r="C3" s="20" t="s">
        <v>153</v>
      </c>
      <c r="D3" s="20" t="s">
        <v>3</v>
      </c>
      <c r="E3" s="20" t="s">
        <v>154</v>
      </c>
      <c r="F3" s="20" t="s">
        <v>155</v>
      </c>
    </row>
    <row r="4" customFormat="false" ht="15.75" hidden="false" customHeight="false" outlineLevel="0" collapsed="false">
      <c r="A4" s="22" t="s">
        <v>156</v>
      </c>
      <c r="B4" s="23" t="n">
        <v>44047</v>
      </c>
      <c r="C4" s="7" t="s">
        <v>28</v>
      </c>
      <c r="D4" s="22" t="s">
        <v>29</v>
      </c>
      <c r="E4" s="22" t="n">
        <v>5</v>
      </c>
      <c r="F4" s="0" t="n">
        <v>2</v>
      </c>
    </row>
    <row r="5" customFormat="false" ht="15.75" hidden="false" customHeight="false" outlineLevel="0" collapsed="false">
      <c r="A5" s="22" t="s">
        <v>156</v>
      </c>
      <c r="B5" s="23" t="n">
        <v>44047</v>
      </c>
      <c r="C5" s="7" t="s">
        <v>22</v>
      </c>
      <c r="D5" s="24" t="s">
        <v>23</v>
      </c>
      <c r="E5" s="24" t="n">
        <v>3</v>
      </c>
      <c r="F5" s="17" t="n">
        <v>1.8</v>
      </c>
    </row>
    <row r="6" customFormat="false" ht="15.75" hidden="false" customHeight="false" outlineLevel="0" collapsed="false">
      <c r="A6" s="22" t="s">
        <v>157</v>
      </c>
      <c r="B6" s="23" t="n">
        <v>44047</v>
      </c>
      <c r="C6" s="7" t="s">
        <v>8</v>
      </c>
      <c r="D6" s="24" t="s">
        <v>9</v>
      </c>
      <c r="E6" s="24" t="n">
        <v>2</v>
      </c>
      <c r="F6" s="17" t="n">
        <v>0.64</v>
      </c>
    </row>
    <row r="7" customFormat="false" ht="15.75" hidden="false" customHeight="false" outlineLevel="0" collapsed="false">
      <c r="A7" s="22" t="s">
        <v>157</v>
      </c>
      <c r="B7" s="23" t="n">
        <v>44047</v>
      </c>
      <c r="C7" s="25" t="s">
        <v>14</v>
      </c>
      <c r="D7" s="24" t="s">
        <v>15</v>
      </c>
      <c r="E7" s="24" t="n">
        <v>3</v>
      </c>
      <c r="F7" s="17" t="n">
        <v>0.45</v>
      </c>
    </row>
    <row r="8" customFormat="false" ht="15.75" hidden="false" customHeight="false" outlineLevel="0" collapsed="false">
      <c r="A8" s="22" t="s">
        <v>157</v>
      </c>
      <c r="B8" s="23" t="n">
        <v>44047</v>
      </c>
      <c r="C8" s="11" t="s">
        <v>117</v>
      </c>
      <c r="D8" s="24" t="s">
        <v>118</v>
      </c>
      <c r="E8" s="24" t="n">
        <v>3</v>
      </c>
      <c r="F8" s="17" t="n">
        <v>0.6</v>
      </c>
    </row>
    <row r="9" customFormat="false" ht="15.75" hidden="false" customHeight="false" outlineLevel="0" collapsed="false">
      <c r="A9" s="22" t="s">
        <v>158</v>
      </c>
      <c r="B9" s="23" t="n">
        <v>44047</v>
      </c>
      <c r="C9" s="25" t="s">
        <v>79</v>
      </c>
      <c r="D9" s="24" t="s">
        <v>80</v>
      </c>
      <c r="E9" s="24" t="n">
        <v>18.89</v>
      </c>
      <c r="F9" s="17" t="n">
        <v>18.89</v>
      </c>
    </row>
    <row r="10" customFormat="false" ht="15.75" hidden="false" customHeight="false" outlineLevel="0" collapsed="false">
      <c r="A10" s="22" t="s">
        <v>159</v>
      </c>
      <c r="B10" s="23" t="n">
        <v>44048</v>
      </c>
      <c r="C10" s="25" t="s">
        <v>107</v>
      </c>
      <c r="D10" s="24" t="s">
        <v>108</v>
      </c>
      <c r="E10" s="24" t="n">
        <v>6.2</v>
      </c>
      <c r="F10" s="17" t="n">
        <v>6.2</v>
      </c>
    </row>
    <row r="11" customFormat="false" ht="15.75" hidden="false" customHeight="false" outlineLevel="0" collapsed="false">
      <c r="A11" s="22" t="s">
        <v>160</v>
      </c>
      <c r="B11" s="23" t="n">
        <v>44048</v>
      </c>
      <c r="C11" s="25" t="s">
        <v>79</v>
      </c>
      <c r="D11" s="24" t="s">
        <v>80</v>
      </c>
      <c r="E11" s="24" t="n">
        <v>47.565</v>
      </c>
      <c r="F11" s="17" t="n">
        <v>47.565</v>
      </c>
    </row>
    <row r="12" customFormat="false" ht="15.75" hidden="false" customHeight="false" outlineLevel="0" collapsed="false">
      <c r="A12" s="22" t="s">
        <v>161</v>
      </c>
      <c r="B12" s="23" t="n">
        <v>44048</v>
      </c>
      <c r="C12" s="25" t="s">
        <v>119</v>
      </c>
      <c r="D12" s="24" t="s">
        <v>120</v>
      </c>
      <c r="E12" s="24" t="n">
        <v>3.12</v>
      </c>
      <c r="F12" s="17" t="n">
        <v>3.12</v>
      </c>
    </row>
    <row r="13" customFormat="false" ht="15.75" hidden="false" customHeight="false" outlineLevel="0" collapsed="false">
      <c r="A13" s="22" t="s">
        <v>162</v>
      </c>
      <c r="B13" s="23" t="n">
        <v>44049</v>
      </c>
      <c r="C13" s="11" t="s">
        <v>47</v>
      </c>
      <c r="D13" s="24" t="s">
        <v>48</v>
      </c>
      <c r="E13" s="24" t="n">
        <v>6</v>
      </c>
      <c r="F13" s="17" t="n">
        <v>1.44</v>
      </c>
    </row>
    <row r="14" customFormat="false" ht="15" hidden="false" customHeight="false" outlineLevel="0" collapsed="false">
      <c r="A14" s="22" t="s">
        <v>163</v>
      </c>
      <c r="B14" s="23" t="n">
        <v>44049</v>
      </c>
      <c r="C14" s="12" t="s">
        <v>8</v>
      </c>
      <c r="D14" s="24" t="s">
        <v>9</v>
      </c>
      <c r="E14" s="24" t="n">
        <v>2</v>
      </c>
      <c r="F14" s="17" t="n">
        <v>0.64</v>
      </c>
    </row>
    <row r="15" customFormat="false" ht="15.75" hidden="false" customHeight="false" outlineLevel="0" collapsed="false">
      <c r="A15" s="22" t="s">
        <v>163</v>
      </c>
      <c r="B15" s="23" t="n">
        <v>44049</v>
      </c>
      <c r="C15" s="7" t="s">
        <v>26</v>
      </c>
      <c r="D15" s="24" t="s">
        <v>27</v>
      </c>
      <c r="E15" s="24" t="n">
        <v>4</v>
      </c>
      <c r="F15" s="17" t="n">
        <v>1</v>
      </c>
    </row>
    <row r="16" customFormat="false" ht="15.75" hidden="false" customHeight="false" outlineLevel="0" collapsed="false">
      <c r="A16" s="22" t="s">
        <v>163</v>
      </c>
      <c r="B16" s="23" t="n">
        <v>44049</v>
      </c>
      <c r="C16" s="7" t="s">
        <v>14</v>
      </c>
      <c r="D16" s="24" t="s">
        <v>15</v>
      </c>
      <c r="E16" s="24" t="n">
        <v>4</v>
      </c>
      <c r="F16" s="17" t="n">
        <v>0.6</v>
      </c>
    </row>
    <row r="17" customFormat="false" ht="15.75" hidden="false" customHeight="false" outlineLevel="0" collapsed="false">
      <c r="A17" s="22" t="s">
        <v>163</v>
      </c>
      <c r="B17" s="23" t="n">
        <v>44049</v>
      </c>
      <c r="C17" s="25" t="s">
        <v>109</v>
      </c>
      <c r="D17" s="24" t="s">
        <v>110</v>
      </c>
      <c r="E17" s="24" t="n">
        <v>4</v>
      </c>
      <c r="F17" s="17" t="n">
        <v>0.8</v>
      </c>
    </row>
    <row r="18" customFormat="false" ht="15.75" hidden="false" customHeight="false" outlineLevel="0" collapsed="false">
      <c r="A18" s="22" t="s">
        <v>164</v>
      </c>
      <c r="B18" s="23" t="n">
        <v>44049</v>
      </c>
      <c r="C18" s="7" t="s">
        <v>14</v>
      </c>
      <c r="D18" s="24" t="s">
        <v>15</v>
      </c>
      <c r="E18" s="24" t="n">
        <v>4</v>
      </c>
      <c r="F18" s="17" t="n">
        <v>0.6</v>
      </c>
    </row>
    <row r="19" customFormat="false" ht="15.75" hidden="false" customHeight="false" outlineLevel="0" collapsed="false">
      <c r="A19" s="22" t="s">
        <v>164</v>
      </c>
      <c r="B19" s="23" t="n">
        <v>44049</v>
      </c>
      <c r="C19" s="7" t="s">
        <v>36</v>
      </c>
      <c r="D19" s="24" t="s">
        <v>37</v>
      </c>
      <c r="E19" s="24" t="n">
        <v>2</v>
      </c>
      <c r="F19" s="17" t="n">
        <v>0.5</v>
      </c>
    </row>
    <row r="20" customFormat="false" ht="15.75" hidden="false" customHeight="false" outlineLevel="0" collapsed="false">
      <c r="A20" s="22" t="s">
        <v>164</v>
      </c>
      <c r="B20" s="23" t="n">
        <v>44049</v>
      </c>
      <c r="C20" s="7" t="s">
        <v>12</v>
      </c>
      <c r="D20" s="24" t="s">
        <v>13</v>
      </c>
      <c r="E20" s="24" t="n">
        <v>2</v>
      </c>
      <c r="F20" s="17" t="n">
        <v>0.5</v>
      </c>
    </row>
    <row r="21" customFormat="false" ht="15.75" hidden="false" customHeight="false" outlineLevel="0" collapsed="false">
      <c r="A21" s="22" t="s">
        <v>164</v>
      </c>
      <c r="B21" s="23" t="n">
        <v>44049</v>
      </c>
      <c r="C21" s="7" t="s">
        <v>49</v>
      </c>
      <c r="D21" s="24" t="s">
        <v>50</v>
      </c>
      <c r="E21" s="24" t="n">
        <v>4</v>
      </c>
      <c r="F21" s="17" t="n">
        <v>1.8</v>
      </c>
    </row>
    <row r="22" customFormat="false" ht="15.75" hidden="false" customHeight="false" outlineLevel="0" collapsed="false">
      <c r="A22" s="22" t="s">
        <v>164</v>
      </c>
      <c r="B22" s="23" t="n">
        <v>44049</v>
      </c>
      <c r="C22" s="7" t="s">
        <v>41</v>
      </c>
      <c r="D22" s="24" t="s">
        <v>42</v>
      </c>
      <c r="E22" s="24" t="n">
        <v>2</v>
      </c>
      <c r="F22" s="17" t="n">
        <v>0.5</v>
      </c>
    </row>
    <row r="23" customFormat="false" ht="15.75" hidden="false" customHeight="false" outlineLevel="0" collapsed="false">
      <c r="A23" s="22" t="s">
        <v>164</v>
      </c>
      <c r="B23" s="23" t="n">
        <v>44049</v>
      </c>
      <c r="C23" s="11" t="s">
        <v>34</v>
      </c>
      <c r="D23" s="24" t="s">
        <v>35</v>
      </c>
      <c r="E23" s="24" t="n">
        <v>4</v>
      </c>
      <c r="F23" s="17" t="n">
        <v>2.4</v>
      </c>
    </row>
    <row r="24" customFormat="false" ht="15.75" hidden="false" customHeight="false" outlineLevel="0" collapsed="false">
      <c r="A24" s="22" t="s">
        <v>164</v>
      </c>
      <c r="B24" s="23" t="n">
        <v>44049</v>
      </c>
      <c r="C24" s="7" t="s">
        <v>8</v>
      </c>
      <c r="D24" s="24" t="s">
        <v>9</v>
      </c>
      <c r="E24" s="24" t="n">
        <v>2</v>
      </c>
      <c r="F24" s="17" t="n">
        <v>0.64</v>
      </c>
    </row>
    <row r="25" customFormat="false" ht="15.75" hidden="false" customHeight="false" outlineLevel="0" collapsed="false">
      <c r="A25" s="22" t="s">
        <v>164</v>
      </c>
      <c r="B25" s="23" t="n">
        <v>44049</v>
      </c>
      <c r="C25" s="7" t="s">
        <v>93</v>
      </c>
      <c r="D25" s="24" t="s">
        <v>94</v>
      </c>
      <c r="E25" s="24" t="n">
        <v>1</v>
      </c>
      <c r="F25" s="17" t="n">
        <v>0.35</v>
      </c>
    </row>
    <row r="26" customFormat="false" ht="15.75" hidden="false" customHeight="false" outlineLevel="0" collapsed="false">
      <c r="A26" s="24" t="s">
        <v>165</v>
      </c>
      <c r="B26" s="23" t="n">
        <v>44049</v>
      </c>
      <c r="C26" s="7" t="s">
        <v>10</v>
      </c>
      <c r="D26" s="24" t="s">
        <v>11</v>
      </c>
      <c r="E26" s="24" t="n">
        <v>2</v>
      </c>
      <c r="F26" s="17" t="n">
        <v>0.5</v>
      </c>
    </row>
    <row r="27" customFormat="false" ht="15.75" hidden="false" customHeight="false" outlineLevel="0" collapsed="false">
      <c r="A27" s="24" t="s">
        <v>165</v>
      </c>
      <c r="B27" s="23" t="n">
        <v>44049</v>
      </c>
      <c r="C27" s="7" t="s">
        <v>12</v>
      </c>
      <c r="D27" s="24" t="s">
        <v>13</v>
      </c>
      <c r="E27" s="24" t="n">
        <v>2</v>
      </c>
      <c r="F27" s="17" t="n">
        <v>0.5</v>
      </c>
    </row>
    <row r="28" customFormat="false" ht="15.75" hidden="false" customHeight="false" outlineLevel="0" collapsed="false">
      <c r="A28" s="24" t="s">
        <v>165</v>
      </c>
      <c r="B28" s="23" t="n">
        <v>44049</v>
      </c>
      <c r="C28" s="7" t="s">
        <v>36</v>
      </c>
      <c r="D28" s="24" t="s">
        <v>37</v>
      </c>
      <c r="E28" s="24" t="n">
        <v>2</v>
      </c>
      <c r="F28" s="17" t="n">
        <v>0.5</v>
      </c>
    </row>
    <row r="29" customFormat="false" ht="15.75" hidden="false" customHeight="false" outlineLevel="0" collapsed="false">
      <c r="A29" s="24" t="s">
        <v>165</v>
      </c>
      <c r="B29" s="23" t="n">
        <v>44049</v>
      </c>
      <c r="C29" s="7" t="s">
        <v>53</v>
      </c>
      <c r="D29" s="24" t="s">
        <v>54</v>
      </c>
      <c r="E29" s="24" t="n">
        <v>2</v>
      </c>
      <c r="F29" s="17" t="n">
        <v>0.3</v>
      </c>
    </row>
    <row r="30" customFormat="false" ht="15.75" hidden="false" customHeight="false" outlineLevel="0" collapsed="false">
      <c r="A30" s="24" t="s">
        <v>165</v>
      </c>
      <c r="B30" s="23" t="n">
        <v>44049</v>
      </c>
      <c r="C30" s="7" t="s">
        <v>99</v>
      </c>
      <c r="D30" s="24" t="s">
        <v>100</v>
      </c>
      <c r="E30" s="24" t="n">
        <v>2</v>
      </c>
      <c r="F30" s="17" t="n">
        <v>0.3</v>
      </c>
    </row>
    <row r="31" customFormat="false" ht="15.75" hidden="false" customHeight="false" outlineLevel="0" collapsed="false">
      <c r="A31" s="24" t="s">
        <v>166</v>
      </c>
      <c r="B31" s="23" t="n">
        <v>44049</v>
      </c>
      <c r="C31" s="7" t="s">
        <v>8</v>
      </c>
      <c r="D31" s="24" t="s">
        <v>9</v>
      </c>
      <c r="E31" s="24" t="n">
        <v>7</v>
      </c>
      <c r="F31" s="17" t="n">
        <v>2.24</v>
      </c>
    </row>
    <row r="32" customFormat="false" ht="15.75" hidden="false" customHeight="false" outlineLevel="0" collapsed="false">
      <c r="A32" s="24" t="s">
        <v>166</v>
      </c>
      <c r="B32" s="23" t="n">
        <v>44049</v>
      </c>
      <c r="C32" s="11" t="s">
        <v>97</v>
      </c>
      <c r="D32" s="24" t="s">
        <v>98</v>
      </c>
      <c r="E32" s="24" t="n">
        <v>8</v>
      </c>
      <c r="F32" s="17" t="n">
        <v>2</v>
      </c>
    </row>
    <row r="33" customFormat="false" ht="15.75" hidden="false" customHeight="false" outlineLevel="0" collapsed="false">
      <c r="A33" s="24" t="s">
        <v>166</v>
      </c>
      <c r="B33" s="23" t="n">
        <v>44049</v>
      </c>
      <c r="C33" s="11" t="s">
        <v>113</v>
      </c>
      <c r="D33" s="24" t="s">
        <v>114</v>
      </c>
      <c r="E33" s="24" t="n">
        <v>2</v>
      </c>
      <c r="F33" s="17" t="n">
        <v>1</v>
      </c>
    </row>
    <row r="34" customFormat="false" ht="15.75" hidden="false" customHeight="false" outlineLevel="0" collapsed="false">
      <c r="A34" s="24" t="s">
        <v>166</v>
      </c>
      <c r="B34" s="23" t="n">
        <v>44048</v>
      </c>
      <c r="C34" s="11" t="s">
        <v>45</v>
      </c>
      <c r="D34" s="24" t="s">
        <v>46</v>
      </c>
      <c r="E34" s="24" t="n">
        <v>20</v>
      </c>
      <c r="F34" s="17" t="n">
        <v>100</v>
      </c>
    </row>
    <row r="35" customFormat="false" ht="15.75" hidden="false" customHeight="false" outlineLevel="0" collapsed="false">
      <c r="A35" s="24" t="s">
        <v>167</v>
      </c>
      <c r="B35" s="23" t="n">
        <v>44050</v>
      </c>
      <c r="C35" s="7" t="s">
        <v>49</v>
      </c>
      <c r="D35" s="24" t="s">
        <v>50</v>
      </c>
      <c r="E35" s="24" t="n">
        <v>7</v>
      </c>
      <c r="F35" s="17" t="n">
        <v>3.15</v>
      </c>
    </row>
    <row r="36" customFormat="false" ht="15.75" hidden="false" customHeight="false" outlineLevel="0" collapsed="false">
      <c r="A36" s="24" t="s">
        <v>167</v>
      </c>
      <c r="B36" s="23" t="n">
        <v>44050</v>
      </c>
      <c r="C36" s="7" t="s">
        <v>109</v>
      </c>
      <c r="D36" s="24" t="s">
        <v>110</v>
      </c>
      <c r="E36" s="24" t="n">
        <v>4</v>
      </c>
      <c r="F36" s="17" t="n">
        <v>0.8</v>
      </c>
    </row>
    <row r="37" customFormat="false" ht="15.75" hidden="false" customHeight="false" outlineLevel="0" collapsed="false">
      <c r="A37" s="24" t="s">
        <v>168</v>
      </c>
      <c r="B37" s="23" t="n">
        <v>44050</v>
      </c>
      <c r="C37" s="7" t="s">
        <v>36</v>
      </c>
      <c r="D37" s="24" t="s">
        <v>37</v>
      </c>
      <c r="E37" s="24" t="n">
        <v>1</v>
      </c>
      <c r="F37" s="17" t="n">
        <v>0.25</v>
      </c>
    </row>
    <row r="38" customFormat="false" ht="15.75" hidden="false" customHeight="false" outlineLevel="0" collapsed="false">
      <c r="A38" s="24" t="s">
        <v>156</v>
      </c>
      <c r="B38" s="23" t="n">
        <v>44050</v>
      </c>
      <c r="C38" s="7" t="s">
        <v>41</v>
      </c>
      <c r="D38" s="24" t="s">
        <v>42</v>
      </c>
      <c r="E38" s="24" t="n">
        <v>10</v>
      </c>
      <c r="F38" s="17" t="n">
        <v>2.5</v>
      </c>
    </row>
    <row r="39" customFormat="false" ht="15.75" hidden="false" customHeight="false" outlineLevel="0" collapsed="false">
      <c r="A39" s="24" t="s">
        <v>156</v>
      </c>
      <c r="B39" s="23" t="n">
        <v>44050</v>
      </c>
      <c r="C39" s="11" t="s">
        <v>125</v>
      </c>
      <c r="D39" s="24" t="s">
        <v>126</v>
      </c>
      <c r="E39" s="24" t="n">
        <v>9</v>
      </c>
      <c r="F39" s="17" t="n">
        <v>2.25</v>
      </c>
    </row>
    <row r="40" customFormat="false" ht="15.75" hidden="false" customHeight="false" outlineLevel="0" collapsed="false">
      <c r="A40" s="24" t="s">
        <v>156</v>
      </c>
      <c r="B40" s="23" t="n">
        <v>44050</v>
      </c>
      <c r="C40" s="11" t="s">
        <v>47</v>
      </c>
      <c r="D40" s="24" t="s">
        <v>48</v>
      </c>
      <c r="E40" s="24" t="n">
        <v>10</v>
      </c>
      <c r="F40" s="17" t="n">
        <v>2.4</v>
      </c>
    </row>
    <row r="41" customFormat="false" ht="15.75" hidden="false" customHeight="false" outlineLevel="0" collapsed="false">
      <c r="A41" s="24" t="s">
        <v>156</v>
      </c>
      <c r="B41" s="23" t="n">
        <v>44050</v>
      </c>
      <c r="C41" s="7" t="s">
        <v>93</v>
      </c>
      <c r="D41" s="24" t="s">
        <v>94</v>
      </c>
      <c r="E41" s="24" t="n">
        <v>5</v>
      </c>
      <c r="F41" s="17" t="n">
        <v>1.75</v>
      </c>
    </row>
    <row r="42" customFormat="false" ht="15.75" hidden="false" customHeight="false" outlineLevel="0" collapsed="false">
      <c r="A42" s="24" t="s">
        <v>169</v>
      </c>
      <c r="B42" s="23" t="n">
        <v>44050</v>
      </c>
      <c r="C42" s="7" t="s">
        <v>28</v>
      </c>
      <c r="D42" s="24" t="s">
        <v>29</v>
      </c>
      <c r="E42" s="24" t="n">
        <v>5</v>
      </c>
      <c r="F42" s="17" t="n">
        <v>2</v>
      </c>
    </row>
    <row r="43" customFormat="false" ht="15.75" hidden="false" customHeight="false" outlineLevel="0" collapsed="false">
      <c r="A43" s="24" t="s">
        <v>169</v>
      </c>
      <c r="B43" s="23" t="n">
        <v>44050</v>
      </c>
      <c r="C43" s="7" t="s">
        <v>20</v>
      </c>
      <c r="D43" s="24" t="s">
        <v>21</v>
      </c>
      <c r="E43" s="24" t="n">
        <v>5</v>
      </c>
      <c r="F43" s="17" t="n">
        <v>2</v>
      </c>
    </row>
    <row r="44" customFormat="false" ht="15.75" hidden="false" customHeight="false" outlineLevel="0" collapsed="false">
      <c r="A44" s="24" t="s">
        <v>169</v>
      </c>
      <c r="B44" s="23" t="n">
        <v>44050</v>
      </c>
      <c r="C44" s="11" t="s">
        <v>125</v>
      </c>
      <c r="D44" s="24" t="s">
        <v>126</v>
      </c>
      <c r="E44" s="24" t="n">
        <v>5</v>
      </c>
      <c r="F44" s="17" t="n">
        <v>1.25</v>
      </c>
    </row>
    <row r="45" customFormat="false" ht="15.75" hidden="false" customHeight="false" outlineLevel="0" collapsed="false">
      <c r="A45" s="24" t="s">
        <v>169</v>
      </c>
      <c r="B45" s="23" t="n">
        <v>44050</v>
      </c>
      <c r="C45" s="11" t="s">
        <v>47</v>
      </c>
      <c r="D45" s="24" t="s">
        <v>48</v>
      </c>
      <c r="E45" s="24" t="n">
        <v>4</v>
      </c>
      <c r="F45" s="17" t="n">
        <v>0.96</v>
      </c>
    </row>
    <row r="46" customFormat="false" ht="15.75" hidden="false" customHeight="false" outlineLevel="0" collapsed="false">
      <c r="A46" s="24" t="s">
        <v>169</v>
      </c>
      <c r="B46" s="23" t="n">
        <v>44050</v>
      </c>
      <c r="C46" s="7" t="s">
        <v>49</v>
      </c>
      <c r="D46" s="24" t="s">
        <v>50</v>
      </c>
      <c r="E46" s="24" t="n">
        <v>4</v>
      </c>
      <c r="F46" s="17" t="n">
        <v>1.8</v>
      </c>
    </row>
    <row r="47" customFormat="false" ht="15.75" hidden="false" customHeight="false" outlineLevel="0" collapsed="false">
      <c r="A47" s="22" t="s">
        <v>170</v>
      </c>
      <c r="B47" s="23" t="n">
        <v>44050</v>
      </c>
      <c r="C47" s="7" t="s">
        <v>103</v>
      </c>
      <c r="D47" s="24" t="s">
        <v>104</v>
      </c>
      <c r="E47" s="24" t="n">
        <v>2.94</v>
      </c>
      <c r="F47" s="17" t="n">
        <v>2.94</v>
      </c>
    </row>
    <row r="48" customFormat="false" ht="15.75" hidden="false" customHeight="false" outlineLevel="0" collapsed="false">
      <c r="A48" s="22" t="s">
        <v>170</v>
      </c>
      <c r="B48" s="23" t="n">
        <v>44050</v>
      </c>
      <c r="C48" s="7" t="s">
        <v>109</v>
      </c>
      <c r="D48" s="24" t="s">
        <v>110</v>
      </c>
      <c r="E48" s="24" t="n">
        <v>10</v>
      </c>
      <c r="F48" s="17" t="n">
        <v>2</v>
      </c>
    </row>
    <row r="49" customFormat="false" ht="15.75" hidden="false" customHeight="false" outlineLevel="0" collapsed="false">
      <c r="A49" s="22" t="s">
        <v>171</v>
      </c>
      <c r="B49" s="23" t="n">
        <v>44051</v>
      </c>
      <c r="C49" s="7" t="s">
        <v>28</v>
      </c>
      <c r="D49" s="24" t="s">
        <v>29</v>
      </c>
      <c r="E49" s="24" t="n">
        <v>1</v>
      </c>
      <c r="F49" s="17" t="n">
        <v>0.4</v>
      </c>
    </row>
    <row r="50" customFormat="false" ht="15.75" hidden="false" customHeight="false" outlineLevel="0" collapsed="false">
      <c r="A50" s="22" t="s">
        <v>171</v>
      </c>
      <c r="B50" s="23" t="n">
        <v>44051</v>
      </c>
      <c r="C50" s="7" t="s">
        <v>30</v>
      </c>
      <c r="D50" s="24" t="s">
        <v>31</v>
      </c>
      <c r="E50" s="24" t="n">
        <v>1</v>
      </c>
      <c r="F50" s="17" t="n">
        <v>0.6</v>
      </c>
    </row>
    <row r="51" customFormat="false" ht="15.75" hidden="false" customHeight="false" outlineLevel="0" collapsed="false">
      <c r="A51" s="22" t="s">
        <v>171</v>
      </c>
      <c r="B51" s="23" t="n">
        <v>44051</v>
      </c>
      <c r="C51" s="7" t="s">
        <v>20</v>
      </c>
      <c r="D51" s="24" t="s">
        <v>21</v>
      </c>
      <c r="E51" s="24" t="n">
        <v>1</v>
      </c>
      <c r="F51" s="17" t="n">
        <v>0.4</v>
      </c>
    </row>
    <row r="52" customFormat="false" ht="15.75" hidden="false" customHeight="false" outlineLevel="0" collapsed="false">
      <c r="A52" s="22" t="s">
        <v>171</v>
      </c>
      <c r="B52" s="23" t="n">
        <v>44051</v>
      </c>
      <c r="C52" s="7" t="s">
        <v>22</v>
      </c>
      <c r="D52" s="24" t="s">
        <v>23</v>
      </c>
      <c r="E52" s="24" t="n">
        <v>1</v>
      </c>
      <c r="F52" s="17" t="n">
        <v>0.6</v>
      </c>
    </row>
    <row r="53" customFormat="false" ht="15.75" hidden="false" customHeight="false" outlineLevel="0" collapsed="false">
      <c r="A53" s="22" t="s">
        <v>171</v>
      </c>
      <c r="B53" s="23" t="n">
        <v>44051</v>
      </c>
      <c r="C53" s="11" t="s">
        <v>47</v>
      </c>
      <c r="D53" s="24" t="s">
        <v>48</v>
      </c>
      <c r="E53" s="24" t="n">
        <v>4</v>
      </c>
      <c r="F53" s="17" t="n">
        <v>0.96</v>
      </c>
    </row>
    <row r="54" customFormat="false" ht="15.75" hidden="false" customHeight="false" outlineLevel="0" collapsed="false">
      <c r="A54" s="22" t="s">
        <v>171</v>
      </c>
      <c r="B54" s="23" t="n">
        <v>44051</v>
      </c>
      <c r="C54" s="11" t="s">
        <v>97</v>
      </c>
      <c r="D54" s="24" t="s">
        <v>98</v>
      </c>
      <c r="E54" s="24" t="n">
        <v>2</v>
      </c>
      <c r="F54" s="17" t="n">
        <v>0.5</v>
      </c>
    </row>
    <row r="55" customFormat="false" ht="15.75" hidden="false" customHeight="false" outlineLevel="0" collapsed="false">
      <c r="A55" s="22" t="s">
        <v>171</v>
      </c>
      <c r="B55" s="23" t="n">
        <v>44051</v>
      </c>
      <c r="C55" s="11" t="s">
        <v>125</v>
      </c>
      <c r="D55" s="24" t="s">
        <v>126</v>
      </c>
      <c r="E55" s="24" t="n">
        <v>1</v>
      </c>
      <c r="F55" s="17" t="n">
        <v>0.25</v>
      </c>
    </row>
    <row r="56" customFormat="false" ht="15.75" hidden="false" customHeight="false" outlineLevel="0" collapsed="false">
      <c r="A56" s="22" t="s">
        <v>171</v>
      </c>
      <c r="B56" s="23" t="n">
        <v>44051</v>
      </c>
      <c r="C56" s="7" t="s">
        <v>8</v>
      </c>
      <c r="D56" s="24" t="s">
        <v>9</v>
      </c>
      <c r="E56" s="24" t="n">
        <v>1</v>
      </c>
      <c r="F56" s="17" t="n">
        <v>0.32</v>
      </c>
    </row>
    <row r="57" customFormat="false" ht="15.75" hidden="false" customHeight="false" outlineLevel="0" collapsed="false">
      <c r="A57" s="22" t="s">
        <v>171</v>
      </c>
      <c r="B57" s="23" t="n">
        <v>44051</v>
      </c>
      <c r="C57" s="7" t="s">
        <v>14</v>
      </c>
      <c r="D57" s="24" t="s">
        <v>15</v>
      </c>
      <c r="E57" s="24" t="n">
        <v>1</v>
      </c>
      <c r="F57" s="17" t="n">
        <v>0.15</v>
      </c>
    </row>
    <row r="58" customFormat="false" ht="15.75" hidden="false" customHeight="false" outlineLevel="0" collapsed="false">
      <c r="A58" s="22" t="s">
        <v>171</v>
      </c>
      <c r="B58" s="23" t="n">
        <v>44051</v>
      </c>
      <c r="C58" s="7" t="s">
        <v>75</v>
      </c>
      <c r="D58" s="24" t="s">
        <v>76</v>
      </c>
      <c r="E58" s="24" t="n">
        <v>1</v>
      </c>
      <c r="F58" s="17" t="n">
        <v>0.25</v>
      </c>
    </row>
    <row r="59" customFormat="false" ht="15.75" hidden="false" customHeight="false" outlineLevel="0" collapsed="false">
      <c r="A59" s="22" t="s">
        <v>171</v>
      </c>
      <c r="B59" s="23" t="n">
        <v>44051</v>
      </c>
      <c r="C59" s="7" t="s">
        <v>93</v>
      </c>
      <c r="D59" s="24" t="s">
        <v>94</v>
      </c>
      <c r="E59" s="24" t="n">
        <v>1</v>
      </c>
      <c r="F59" s="17" t="n">
        <v>0.35</v>
      </c>
    </row>
    <row r="60" customFormat="false" ht="15.75" hidden="false" customHeight="false" outlineLevel="0" collapsed="false">
      <c r="A60" s="22" t="s">
        <v>171</v>
      </c>
      <c r="B60" s="23" t="n">
        <v>44051</v>
      </c>
      <c r="C60" s="11" t="s">
        <v>34</v>
      </c>
      <c r="D60" s="24" t="s">
        <v>35</v>
      </c>
      <c r="E60" s="24" t="n">
        <v>1</v>
      </c>
      <c r="F60" s="17" t="n">
        <v>0.6</v>
      </c>
    </row>
    <row r="61" customFormat="false" ht="15.75" hidden="false" customHeight="false" outlineLevel="0" collapsed="false">
      <c r="A61" s="22" t="s">
        <v>172</v>
      </c>
      <c r="B61" s="23" t="n">
        <v>44053</v>
      </c>
      <c r="C61" s="7" t="s">
        <v>8</v>
      </c>
      <c r="D61" s="24" t="s">
        <v>9</v>
      </c>
      <c r="E61" s="24" t="n">
        <v>3</v>
      </c>
      <c r="F61" s="17" t="n">
        <v>0.96</v>
      </c>
    </row>
    <row r="62" customFormat="false" ht="15.75" hidden="false" customHeight="false" outlineLevel="0" collapsed="false">
      <c r="A62" s="22" t="s">
        <v>172</v>
      </c>
      <c r="B62" s="23" t="n">
        <v>44053</v>
      </c>
      <c r="C62" s="7" t="s">
        <v>14</v>
      </c>
      <c r="D62" s="24" t="s">
        <v>15</v>
      </c>
      <c r="E62" s="24" t="n">
        <v>3</v>
      </c>
      <c r="F62" s="17" t="n">
        <v>0.45</v>
      </c>
    </row>
    <row r="63" customFormat="false" ht="15.75" hidden="false" customHeight="false" outlineLevel="0" collapsed="false">
      <c r="A63" s="22" t="s">
        <v>172</v>
      </c>
      <c r="B63" s="23" t="n">
        <v>44053</v>
      </c>
      <c r="C63" s="7" t="s">
        <v>77</v>
      </c>
      <c r="D63" s="24" t="s">
        <v>78</v>
      </c>
      <c r="E63" s="24" t="n">
        <v>2</v>
      </c>
      <c r="F63" s="17" t="n">
        <v>0.6</v>
      </c>
    </row>
    <row r="64" customFormat="false" ht="15.75" hidden="false" customHeight="false" outlineLevel="0" collapsed="false">
      <c r="A64" s="24" t="s">
        <v>173</v>
      </c>
      <c r="B64" s="23" t="n">
        <v>44053</v>
      </c>
      <c r="C64" s="7" t="s">
        <v>22</v>
      </c>
      <c r="D64" s="24" t="s">
        <v>23</v>
      </c>
      <c r="E64" s="24" t="n">
        <v>1</v>
      </c>
      <c r="F64" s="17" t="n">
        <v>0.6</v>
      </c>
    </row>
    <row r="65" customFormat="false" ht="15.75" hidden="false" customHeight="false" outlineLevel="0" collapsed="false">
      <c r="A65" s="24" t="s">
        <v>173</v>
      </c>
      <c r="B65" s="23" t="n">
        <v>44053</v>
      </c>
      <c r="C65" s="11" t="s">
        <v>125</v>
      </c>
      <c r="D65" s="24" t="s">
        <v>126</v>
      </c>
      <c r="E65" s="24" t="n">
        <v>1</v>
      </c>
      <c r="F65" s="17" t="n">
        <v>0.25</v>
      </c>
    </row>
    <row r="66" customFormat="false" ht="15.75" hidden="false" customHeight="false" outlineLevel="0" collapsed="false">
      <c r="A66" s="24" t="s">
        <v>174</v>
      </c>
      <c r="B66" s="23" t="n">
        <v>44053</v>
      </c>
      <c r="C66" s="7" t="s">
        <v>28</v>
      </c>
      <c r="D66" s="24" t="s">
        <v>29</v>
      </c>
      <c r="E66" s="24" t="n">
        <v>3</v>
      </c>
      <c r="F66" s="17" t="n">
        <v>1.2</v>
      </c>
    </row>
    <row r="67" customFormat="false" ht="15.75" hidden="false" customHeight="false" outlineLevel="0" collapsed="false">
      <c r="A67" s="24" t="s">
        <v>174</v>
      </c>
      <c r="B67" s="23" t="n">
        <v>44053</v>
      </c>
      <c r="C67" s="11" t="s">
        <v>34</v>
      </c>
      <c r="D67" s="24" t="s">
        <v>35</v>
      </c>
      <c r="E67" s="24" t="n">
        <v>3</v>
      </c>
      <c r="F67" s="17" t="n">
        <v>1.8</v>
      </c>
    </row>
    <row r="68" customFormat="false" ht="15.75" hidden="false" customHeight="false" outlineLevel="0" collapsed="false">
      <c r="A68" s="24" t="s">
        <v>174</v>
      </c>
      <c r="B68" s="23" t="n">
        <v>44053</v>
      </c>
      <c r="C68" s="11" t="s">
        <v>97</v>
      </c>
      <c r="D68" s="24" t="s">
        <v>98</v>
      </c>
      <c r="E68" s="24" t="n">
        <v>3</v>
      </c>
      <c r="F68" s="17" t="n">
        <v>0.75</v>
      </c>
    </row>
    <row r="69" customFormat="false" ht="15.75" hidden="false" customHeight="false" outlineLevel="0" collapsed="false">
      <c r="A69" s="24" t="s">
        <v>174</v>
      </c>
      <c r="B69" s="23" t="n">
        <v>44053</v>
      </c>
      <c r="C69" s="7" t="s">
        <v>20</v>
      </c>
      <c r="D69" s="24" t="s">
        <v>21</v>
      </c>
      <c r="E69" s="24" t="n">
        <v>3</v>
      </c>
      <c r="F69" s="17" t="n">
        <v>1.2</v>
      </c>
    </row>
    <row r="70" customFormat="false" ht="15.75" hidden="false" customHeight="false" outlineLevel="0" collapsed="false">
      <c r="A70" s="24" t="s">
        <v>156</v>
      </c>
      <c r="B70" s="23" t="n">
        <v>44054</v>
      </c>
      <c r="C70" s="11" t="s">
        <v>47</v>
      </c>
      <c r="D70" s="24" t="s">
        <v>48</v>
      </c>
      <c r="E70" s="24" t="n">
        <v>15</v>
      </c>
      <c r="F70" s="17" t="n">
        <v>3.6</v>
      </c>
    </row>
    <row r="71" customFormat="false" ht="15.75" hidden="false" customHeight="false" outlineLevel="0" collapsed="false">
      <c r="A71" s="24" t="s">
        <v>156</v>
      </c>
      <c r="B71" s="23" t="n">
        <v>44054</v>
      </c>
      <c r="C71" s="11" t="s">
        <v>117</v>
      </c>
      <c r="D71" s="24" t="s">
        <v>118</v>
      </c>
      <c r="E71" s="24" t="n">
        <v>35</v>
      </c>
      <c r="F71" s="17" t="n">
        <v>7</v>
      </c>
    </row>
    <row r="72" customFormat="false" ht="15.75" hidden="false" customHeight="false" outlineLevel="0" collapsed="false">
      <c r="A72" s="24" t="s">
        <v>156</v>
      </c>
      <c r="B72" s="23" t="n">
        <v>44054</v>
      </c>
      <c r="C72" s="7" t="s">
        <v>69</v>
      </c>
      <c r="D72" s="24" t="s">
        <v>70</v>
      </c>
      <c r="E72" s="24" t="n">
        <v>8</v>
      </c>
      <c r="F72" s="17" t="n">
        <v>2</v>
      </c>
    </row>
    <row r="73" customFormat="false" ht="15.75" hidden="false" customHeight="false" outlineLevel="0" collapsed="false">
      <c r="A73" s="24" t="s">
        <v>156</v>
      </c>
      <c r="B73" s="23" t="n">
        <v>44054</v>
      </c>
      <c r="C73" s="7" t="s">
        <v>14</v>
      </c>
      <c r="D73" s="24" t="s">
        <v>15</v>
      </c>
      <c r="E73" s="24" t="n">
        <v>5</v>
      </c>
      <c r="F73" s="17" t="n">
        <v>0.75</v>
      </c>
    </row>
    <row r="74" customFormat="false" ht="15.75" hidden="false" customHeight="false" outlineLevel="0" collapsed="false">
      <c r="A74" s="24" t="s">
        <v>156</v>
      </c>
      <c r="B74" s="23" t="n">
        <v>44054</v>
      </c>
      <c r="C74" s="11" t="s">
        <v>97</v>
      </c>
      <c r="D74" s="24" t="s">
        <v>98</v>
      </c>
      <c r="E74" s="24" t="n">
        <v>10</v>
      </c>
      <c r="F74" s="17" t="n">
        <v>2.5</v>
      </c>
    </row>
    <row r="75" customFormat="false" ht="15.75" hidden="false" customHeight="false" outlineLevel="0" collapsed="false">
      <c r="A75" s="24" t="s">
        <v>159</v>
      </c>
      <c r="B75" s="23" t="n">
        <v>44055</v>
      </c>
      <c r="C75" s="11" t="s">
        <v>125</v>
      </c>
      <c r="D75" s="24" t="s">
        <v>126</v>
      </c>
      <c r="E75" s="24" t="n">
        <v>80</v>
      </c>
      <c r="F75" s="17" t="n">
        <v>20</v>
      </c>
    </row>
    <row r="76" customFormat="false" ht="15.75" hidden="false" customHeight="false" outlineLevel="0" collapsed="false">
      <c r="A76" s="24" t="s">
        <v>169</v>
      </c>
      <c r="B76" s="23" t="n">
        <v>44055</v>
      </c>
      <c r="C76" s="7" t="s">
        <v>73</v>
      </c>
      <c r="D76" s="24" t="s">
        <v>74</v>
      </c>
      <c r="E76" s="24" t="n">
        <v>4.595</v>
      </c>
      <c r="F76" s="17" t="n">
        <v>4.595</v>
      </c>
    </row>
    <row r="77" customFormat="false" ht="15.75" hidden="false" customHeight="false" outlineLevel="0" collapsed="false">
      <c r="A77" s="24" t="s">
        <v>169</v>
      </c>
      <c r="B77" s="23" t="n">
        <v>44055</v>
      </c>
      <c r="C77" s="11" t="s">
        <v>129</v>
      </c>
      <c r="D77" s="24" t="s">
        <v>130</v>
      </c>
      <c r="E77" s="24" t="n">
        <v>2.71</v>
      </c>
      <c r="F77" s="17" t="n">
        <v>2.71</v>
      </c>
    </row>
    <row r="78" customFormat="false" ht="15.75" hidden="false" customHeight="false" outlineLevel="0" collapsed="false">
      <c r="A78" s="24" t="s">
        <v>169</v>
      </c>
      <c r="B78" s="23" t="n">
        <v>44055</v>
      </c>
      <c r="C78" s="7" t="s">
        <v>109</v>
      </c>
      <c r="D78" s="24" t="s">
        <v>110</v>
      </c>
      <c r="E78" s="24" t="n">
        <v>5</v>
      </c>
      <c r="F78" s="17" t="n">
        <v>1</v>
      </c>
    </row>
    <row r="79" customFormat="false" ht="15.75" hidden="false" customHeight="false" outlineLevel="0" collapsed="false">
      <c r="A79" s="24" t="s">
        <v>169</v>
      </c>
      <c r="B79" s="23" t="n">
        <v>44055</v>
      </c>
      <c r="C79" s="11" t="s">
        <v>125</v>
      </c>
      <c r="D79" s="24" t="s">
        <v>126</v>
      </c>
      <c r="E79" s="24" t="n">
        <v>3</v>
      </c>
      <c r="F79" s="17" t="n">
        <v>0.75</v>
      </c>
    </row>
    <row r="80" customFormat="false" ht="15.75" hidden="false" customHeight="false" outlineLevel="0" collapsed="false">
      <c r="A80" s="24" t="s">
        <v>169</v>
      </c>
      <c r="B80" s="23" t="n">
        <v>44055</v>
      </c>
      <c r="C80" s="7" t="s">
        <v>41</v>
      </c>
      <c r="D80" s="24" t="s">
        <v>42</v>
      </c>
      <c r="E80" s="24" t="n">
        <v>5</v>
      </c>
      <c r="F80" s="17" t="n">
        <v>1.25</v>
      </c>
    </row>
    <row r="81" customFormat="false" ht="15.75" hidden="false" customHeight="false" outlineLevel="0" collapsed="false">
      <c r="A81" s="24" t="s">
        <v>158</v>
      </c>
      <c r="B81" s="23" t="n">
        <v>44056</v>
      </c>
      <c r="C81" s="7" t="s">
        <v>79</v>
      </c>
      <c r="D81" s="24" t="s">
        <v>80</v>
      </c>
      <c r="E81" s="24" t="n">
        <v>24.87</v>
      </c>
      <c r="F81" s="17" t="n">
        <v>24.87</v>
      </c>
    </row>
    <row r="82" customFormat="false" ht="15.75" hidden="false" customHeight="false" outlineLevel="0" collapsed="false">
      <c r="A82" s="24" t="s">
        <v>158</v>
      </c>
      <c r="B82" s="23" t="n">
        <v>44056</v>
      </c>
      <c r="C82" s="11" t="s">
        <v>125</v>
      </c>
      <c r="D82" s="24" t="s">
        <v>126</v>
      </c>
      <c r="E82" s="24" t="n">
        <v>3</v>
      </c>
      <c r="F82" s="17" t="n">
        <v>0.75</v>
      </c>
    </row>
    <row r="83" customFormat="false" ht="15.75" hidden="false" customHeight="false" outlineLevel="0" collapsed="false">
      <c r="A83" s="24" t="s">
        <v>158</v>
      </c>
      <c r="B83" s="23" t="n">
        <v>44056</v>
      </c>
      <c r="C83" s="7" t="s">
        <v>28</v>
      </c>
      <c r="D83" s="24" t="s">
        <v>29</v>
      </c>
      <c r="E83" s="24" t="n">
        <v>3</v>
      </c>
      <c r="F83" s="17" t="n">
        <v>1.2</v>
      </c>
    </row>
    <row r="84" customFormat="false" ht="15.75" hidden="false" customHeight="false" outlineLevel="0" collapsed="false">
      <c r="A84" s="24" t="s">
        <v>158</v>
      </c>
      <c r="B84" s="23" t="n">
        <v>44056</v>
      </c>
      <c r="C84" s="7" t="s">
        <v>8</v>
      </c>
      <c r="D84" s="24" t="s">
        <v>9</v>
      </c>
      <c r="E84" s="24" t="n">
        <v>3</v>
      </c>
      <c r="F84" s="17" t="n">
        <v>0.96</v>
      </c>
    </row>
    <row r="85" customFormat="false" ht="15.75" hidden="false" customHeight="false" outlineLevel="0" collapsed="false">
      <c r="A85" s="24" t="s">
        <v>158</v>
      </c>
      <c r="B85" s="23" t="n">
        <v>44056</v>
      </c>
      <c r="C85" s="7" t="s">
        <v>41</v>
      </c>
      <c r="D85" s="24" t="s">
        <v>42</v>
      </c>
      <c r="E85" s="24" t="n">
        <v>3</v>
      </c>
      <c r="F85" s="17" t="n">
        <v>0.75</v>
      </c>
    </row>
    <row r="86" customFormat="false" ht="15.75" hidden="false" customHeight="false" outlineLevel="0" collapsed="false">
      <c r="A86" s="24" t="s">
        <v>158</v>
      </c>
      <c r="B86" s="23" t="n">
        <v>44056</v>
      </c>
      <c r="C86" s="7" t="s">
        <v>20</v>
      </c>
      <c r="D86" s="24" t="s">
        <v>21</v>
      </c>
      <c r="E86" s="24" t="n">
        <v>3</v>
      </c>
      <c r="F86" s="17" t="n">
        <v>1.2</v>
      </c>
    </row>
    <row r="87" customFormat="false" ht="15.75" hidden="false" customHeight="false" outlineLevel="0" collapsed="false">
      <c r="A87" s="24" t="s">
        <v>158</v>
      </c>
      <c r="B87" s="23" t="n">
        <v>44056</v>
      </c>
      <c r="C87" s="7" t="s">
        <v>14</v>
      </c>
      <c r="D87" s="24" t="s">
        <v>15</v>
      </c>
      <c r="E87" s="24" t="n">
        <v>3</v>
      </c>
      <c r="F87" s="17" t="n">
        <v>0.45</v>
      </c>
    </row>
    <row r="88" customFormat="false" ht="15.75" hidden="false" customHeight="false" outlineLevel="0" collapsed="false">
      <c r="A88" s="24" t="s">
        <v>175</v>
      </c>
      <c r="B88" s="23" t="n">
        <v>44056</v>
      </c>
      <c r="C88" s="7" t="s">
        <v>28</v>
      </c>
      <c r="D88" s="24" t="s">
        <v>29</v>
      </c>
      <c r="E88" s="24" t="n">
        <v>2</v>
      </c>
      <c r="F88" s="17" t="n">
        <v>0.8</v>
      </c>
    </row>
    <row r="89" customFormat="false" ht="15.75" hidden="false" customHeight="false" outlineLevel="0" collapsed="false">
      <c r="A89" s="24" t="s">
        <v>175</v>
      </c>
      <c r="B89" s="23" t="n">
        <v>44056</v>
      </c>
      <c r="C89" s="11" t="s">
        <v>125</v>
      </c>
      <c r="D89" s="24" t="s">
        <v>126</v>
      </c>
      <c r="E89" s="24" t="n">
        <v>2</v>
      </c>
      <c r="F89" s="17" t="n">
        <v>0.5</v>
      </c>
    </row>
    <row r="90" customFormat="false" ht="15.75" hidden="false" customHeight="false" outlineLevel="0" collapsed="false">
      <c r="A90" s="24" t="s">
        <v>175</v>
      </c>
      <c r="B90" s="23" t="n">
        <v>44056</v>
      </c>
      <c r="C90" s="7" t="s">
        <v>8</v>
      </c>
      <c r="D90" s="24" t="s">
        <v>9</v>
      </c>
      <c r="E90" s="24" t="n">
        <v>2</v>
      </c>
      <c r="F90" s="17" t="n">
        <v>0.64</v>
      </c>
    </row>
    <row r="91" customFormat="false" ht="15.75" hidden="false" customHeight="false" outlineLevel="0" collapsed="false">
      <c r="A91" s="24" t="s">
        <v>175</v>
      </c>
      <c r="B91" s="23" t="n">
        <v>44056</v>
      </c>
      <c r="C91" s="7" t="s">
        <v>41</v>
      </c>
      <c r="D91" s="24" t="s">
        <v>42</v>
      </c>
      <c r="E91" s="24" t="n">
        <v>2</v>
      </c>
      <c r="F91" s="17" t="n">
        <v>0.5</v>
      </c>
    </row>
    <row r="92" customFormat="false" ht="15.75" hidden="false" customHeight="false" outlineLevel="0" collapsed="false">
      <c r="A92" s="24" t="s">
        <v>175</v>
      </c>
      <c r="B92" s="23" t="n">
        <v>44056</v>
      </c>
      <c r="C92" s="7" t="s">
        <v>14</v>
      </c>
      <c r="D92" s="24" t="s">
        <v>15</v>
      </c>
      <c r="E92" s="24" t="n">
        <v>2</v>
      </c>
      <c r="F92" s="17" t="n">
        <v>0.3</v>
      </c>
    </row>
    <row r="93" customFormat="false" ht="15.75" hidden="false" customHeight="false" outlineLevel="0" collapsed="false">
      <c r="A93" s="24" t="s">
        <v>175</v>
      </c>
      <c r="B93" s="23" t="n">
        <v>44056</v>
      </c>
      <c r="C93" s="7" t="s">
        <v>20</v>
      </c>
      <c r="D93" s="24" t="s">
        <v>21</v>
      </c>
      <c r="E93" s="24" t="n">
        <v>2</v>
      </c>
      <c r="F93" s="17" t="n">
        <v>0.8</v>
      </c>
    </row>
    <row r="94" customFormat="false" ht="15.75" hidden="false" customHeight="false" outlineLevel="0" collapsed="false">
      <c r="A94" s="24" t="s">
        <v>176</v>
      </c>
      <c r="B94" s="23" t="n">
        <v>44056</v>
      </c>
      <c r="C94" s="7" t="s">
        <v>28</v>
      </c>
      <c r="D94" s="24" t="s">
        <v>29</v>
      </c>
      <c r="E94" s="24" t="n">
        <v>2</v>
      </c>
      <c r="F94" s="17" t="n">
        <v>0.8</v>
      </c>
    </row>
    <row r="95" customFormat="false" ht="15.75" hidden="false" customHeight="false" outlineLevel="0" collapsed="false">
      <c r="A95" s="24" t="s">
        <v>176</v>
      </c>
      <c r="B95" s="23" t="n">
        <v>44056</v>
      </c>
      <c r="C95" s="11" t="s">
        <v>125</v>
      </c>
      <c r="D95" s="24" t="s">
        <v>126</v>
      </c>
      <c r="E95" s="24" t="n">
        <v>2</v>
      </c>
      <c r="F95" s="17" t="n">
        <v>0.5</v>
      </c>
    </row>
    <row r="96" customFormat="false" ht="15.75" hidden="false" customHeight="false" outlineLevel="0" collapsed="false">
      <c r="A96" s="24" t="s">
        <v>176</v>
      </c>
      <c r="B96" s="23" t="n">
        <v>44056</v>
      </c>
      <c r="C96" s="7" t="s">
        <v>8</v>
      </c>
      <c r="D96" s="24" t="s">
        <v>9</v>
      </c>
      <c r="E96" s="24" t="n">
        <v>2</v>
      </c>
      <c r="F96" s="17" t="n">
        <v>0.64</v>
      </c>
    </row>
    <row r="97" customFormat="false" ht="15.75" hidden="false" customHeight="false" outlineLevel="0" collapsed="false">
      <c r="A97" s="24" t="s">
        <v>176</v>
      </c>
      <c r="B97" s="23" t="n">
        <v>44056</v>
      </c>
      <c r="C97" s="7" t="s">
        <v>41</v>
      </c>
      <c r="D97" s="24" t="s">
        <v>42</v>
      </c>
      <c r="E97" s="24" t="n">
        <v>2</v>
      </c>
      <c r="F97" s="17" t="n">
        <v>0.5</v>
      </c>
    </row>
    <row r="98" customFormat="false" ht="15.75" hidden="false" customHeight="false" outlineLevel="0" collapsed="false">
      <c r="A98" s="24" t="s">
        <v>176</v>
      </c>
      <c r="B98" s="23" t="n">
        <v>44056</v>
      </c>
      <c r="C98" s="7" t="s">
        <v>14</v>
      </c>
      <c r="D98" s="24" t="s">
        <v>15</v>
      </c>
      <c r="E98" s="24" t="n">
        <v>2</v>
      </c>
      <c r="F98" s="17" t="n">
        <v>0.3</v>
      </c>
    </row>
    <row r="99" customFormat="false" ht="15.75" hidden="false" customHeight="false" outlineLevel="0" collapsed="false">
      <c r="A99" s="24" t="s">
        <v>156</v>
      </c>
      <c r="B99" s="23" t="n">
        <v>44056</v>
      </c>
      <c r="C99" s="11" t="s">
        <v>47</v>
      </c>
      <c r="D99" s="24" t="s">
        <v>48</v>
      </c>
      <c r="E99" s="24" t="n">
        <v>10</v>
      </c>
      <c r="F99" s="17" t="n">
        <v>2.4</v>
      </c>
    </row>
    <row r="100" customFormat="false" ht="15.75" hidden="false" customHeight="false" outlineLevel="0" collapsed="false">
      <c r="A100" s="24" t="s">
        <v>156</v>
      </c>
      <c r="B100" s="23" t="n">
        <v>44056</v>
      </c>
      <c r="C100" s="7" t="s">
        <v>41</v>
      </c>
      <c r="D100" s="24" t="s">
        <v>42</v>
      </c>
      <c r="E100" s="24" t="n">
        <v>5</v>
      </c>
      <c r="F100" s="17" t="n">
        <v>1.25</v>
      </c>
    </row>
    <row r="101" customFormat="false" ht="15.75" hidden="false" customHeight="false" outlineLevel="0" collapsed="false">
      <c r="A101" s="24" t="s">
        <v>156</v>
      </c>
      <c r="B101" s="23" t="n">
        <v>44056</v>
      </c>
      <c r="C101" s="7" t="s">
        <v>26</v>
      </c>
      <c r="D101" s="24" t="s">
        <v>27</v>
      </c>
      <c r="E101" s="24" t="n">
        <v>5</v>
      </c>
      <c r="F101" s="17" t="n">
        <v>1.25</v>
      </c>
    </row>
    <row r="102" customFormat="false" ht="15.75" hidden="false" customHeight="false" outlineLevel="0" collapsed="false">
      <c r="A102" s="24" t="s">
        <v>156</v>
      </c>
      <c r="B102" s="23" t="n">
        <v>44056</v>
      </c>
      <c r="C102" s="7" t="s">
        <v>18</v>
      </c>
      <c r="D102" s="24" t="s">
        <v>19</v>
      </c>
      <c r="E102" s="24" t="n">
        <v>5</v>
      </c>
      <c r="F102" s="17" t="n">
        <v>1.25</v>
      </c>
    </row>
    <row r="103" customFormat="false" ht="15.75" hidden="false" customHeight="false" outlineLevel="0" collapsed="false">
      <c r="A103" s="24" t="s">
        <v>157</v>
      </c>
      <c r="B103" s="23" t="n">
        <v>44056</v>
      </c>
      <c r="C103" s="7" t="s">
        <v>14</v>
      </c>
      <c r="D103" s="24" t="s">
        <v>15</v>
      </c>
      <c r="E103" s="24" t="n">
        <v>4</v>
      </c>
      <c r="F103" s="17" t="n">
        <v>0.6</v>
      </c>
    </row>
    <row r="104" customFormat="false" ht="15.75" hidden="false" customHeight="false" outlineLevel="0" collapsed="false">
      <c r="A104" s="24" t="s">
        <v>157</v>
      </c>
      <c r="B104" s="23" t="n">
        <v>44056</v>
      </c>
      <c r="C104" s="7" t="s">
        <v>8</v>
      </c>
      <c r="D104" s="24" t="s">
        <v>9</v>
      </c>
      <c r="E104" s="24" t="n">
        <v>2</v>
      </c>
      <c r="F104" s="17" t="n">
        <v>0.64</v>
      </c>
    </row>
    <row r="105" customFormat="false" ht="15.75" hidden="false" customHeight="false" outlineLevel="0" collapsed="false">
      <c r="A105" s="24" t="s">
        <v>157</v>
      </c>
      <c r="B105" s="23" t="n">
        <v>44056</v>
      </c>
      <c r="C105" s="7" t="s">
        <v>20</v>
      </c>
      <c r="D105" s="24" t="s">
        <v>21</v>
      </c>
      <c r="E105" s="24" t="n">
        <v>4</v>
      </c>
      <c r="F105" s="17" t="n">
        <v>1.6</v>
      </c>
    </row>
    <row r="106" customFormat="false" ht="15.75" hidden="false" customHeight="false" outlineLevel="0" collapsed="false">
      <c r="A106" s="24" t="s">
        <v>177</v>
      </c>
      <c r="B106" s="23" t="n">
        <v>44056</v>
      </c>
      <c r="C106" s="7" t="s">
        <v>14</v>
      </c>
      <c r="D106" s="24" t="s">
        <v>15</v>
      </c>
      <c r="E106" s="24" t="n">
        <v>4</v>
      </c>
      <c r="F106" s="17" t="n">
        <v>0.6</v>
      </c>
    </row>
    <row r="107" customFormat="false" ht="15.75" hidden="false" customHeight="false" outlineLevel="0" collapsed="false">
      <c r="A107" s="24" t="s">
        <v>177</v>
      </c>
      <c r="B107" s="23" t="n">
        <v>44056</v>
      </c>
      <c r="C107" s="7" t="s">
        <v>22</v>
      </c>
      <c r="D107" s="24" t="s">
        <v>23</v>
      </c>
      <c r="E107" s="24" t="n">
        <v>2</v>
      </c>
      <c r="F107" s="17" t="n">
        <v>1.2</v>
      </c>
    </row>
    <row r="108" customFormat="false" ht="15.75" hidden="false" customHeight="false" outlineLevel="0" collapsed="false">
      <c r="A108" s="24" t="s">
        <v>177</v>
      </c>
      <c r="B108" s="23" t="n">
        <v>44056</v>
      </c>
      <c r="C108" s="11" t="s">
        <v>47</v>
      </c>
      <c r="D108" s="24" t="s">
        <v>48</v>
      </c>
      <c r="E108" s="24" t="n">
        <v>2</v>
      </c>
      <c r="F108" s="17" t="n">
        <v>0.48</v>
      </c>
    </row>
    <row r="109" customFormat="false" ht="15.75" hidden="false" customHeight="false" outlineLevel="0" collapsed="false">
      <c r="A109" s="24" t="s">
        <v>177</v>
      </c>
      <c r="B109" s="23" t="n">
        <v>44056</v>
      </c>
      <c r="C109" s="11" t="s">
        <v>34</v>
      </c>
      <c r="D109" s="24" t="s">
        <v>35</v>
      </c>
      <c r="E109" s="24" t="n">
        <v>2</v>
      </c>
      <c r="F109" s="17" t="n">
        <v>1.2</v>
      </c>
    </row>
    <row r="110" customFormat="false" ht="15.75" hidden="false" customHeight="false" outlineLevel="0" collapsed="false">
      <c r="A110" s="24" t="s">
        <v>178</v>
      </c>
      <c r="B110" s="23" t="n">
        <v>44056</v>
      </c>
      <c r="C110" s="11" t="s">
        <v>47</v>
      </c>
      <c r="D110" s="24" t="s">
        <v>48</v>
      </c>
      <c r="E110" s="24" t="n">
        <v>1</v>
      </c>
      <c r="F110" s="17" t="n">
        <v>0.24</v>
      </c>
    </row>
    <row r="111" customFormat="false" ht="15.75" hidden="false" customHeight="false" outlineLevel="0" collapsed="false">
      <c r="A111" s="24" t="s">
        <v>178</v>
      </c>
      <c r="B111" s="23" t="n">
        <v>44056</v>
      </c>
      <c r="C111" s="7" t="s">
        <v>8</v>
      </c>
      <c r="D111" s="24" t="s">
        <v>9</v>
      </c>
      <c r="E111" s="24" t="n">
        <v>1</v>
      </c>
      <c r="F111" s="17" t="n">
        <v>0.32</v>
      </c>
    </row>
    <row r="112" customFormat="false" ht="15.75" hidden="false" customHeight="false" outlineLevel="0" collapsed="false">
      <c r="A112" s="24" t="s">
        <v>178</v>
      </c>
      <c r="B112" s="23" t="n">
        <v>44056</v>
      </c>
      <c r="C112" s="11" t="s">
        <v>97</v>
      </c>
      <c r="D112" s="24" t="s">
        <v>98</v>
      </c>
      <c r="E112" s="24" t="n">
        <v>1</v>
      </c>
      <c r="F112" s="17" t="n">
        <v>0.25</v>
      </c>
    </row>
    <row r="113" customFormat="false" ht="15.75" hidden="false" customHeight="false" outlineLevel="0" collapsed="false">
      <c r="A113" s="24" t="s">
        <v>179</v>
      </c>
      <c r="B113" s="23" t="n">
        <v>44056</v>
      </c>
      <c r="C113" s="7" t="s">
        <v>8</v>
      </c>
      <c r="D113" s="24" t="s">
        <v>9</v>
      </c>
      <c r="E113" s="24" t="n">
        <v>1</v>
      </c>
      <c r="F113" s="17" t="n">
        <v>0.32</v>
      </c>
    </row>
    <row r="114" customFormat="false" ht="15.75" hidden="false" customHeight="false" outlineLevel="0" collapsed="false">
      <c r="A114" s="24" t="s">
        <v>179</v>
      </c>
      <c r="B114" s="23" t="n">
        <v>44056</v>
      </c>
      <c r="C114" s="11" t="s">
        <v>83</v>
      </c>
      <c r="D114" s="24" t="s">
        <v>84</v>
      </c>
      <c r="E114" s="24" t="n">
        <v>1</v>
      </c>
      <c r="F114" s="17" t="n">
        <v>0.5</v>
      </c>
    </row>
    <row r="115" customFormat="false" ht="15.75" hidden="false" customHeight="false" outlineLevel="0" collapsed="false">
      <c r="A115" s="24" t="s">
        <v>179</v>
      </c>
      <c r="B115" s="23" t="n">
        <v>44056</v>
      </c>
      <c r="C115" s="7" t="s">
        <v>28</v>
      </c>
      <c r="D115" s="24" t="s">
        <v>29</v>
      </c>
      <c r="E115" s="24" t="n">
        <v>1</v>
      </c>
      <c r="F115" s="17" t="n">
        <v>0.4</v>
      </c>
    </row>
    <row r="116" customFormat="false" ht="15.75" hidden="false" customHeight="false" outlineLevel="0" collapsed="false">
      <c r="A116" s="24" t="s">
        <v>179</v>
      </c>
      <c r="B116" s="23" t="n">
        <v>44056</v>
      </c>
      <c r="C116" s="7" t="s">
        <v>14</v>
      </c>
      <c r="D116" s="24" t="s">
        <v>15</v>
      </c>
      <c r="E116" s="24" t="n">
        <v>1</v>
      </c>
      <c r="F116" s="17" t="n">
        <v>0.15</v>
      </c>
    </row>
    <row r="117" customFormat="false" ht="15.75" hidden="false" customHeight="false" outlineLevel="0" collapsed="false">
      <c r="A117" s="24" t="s">
        <v>179</v>
      </c>
      <c r="B117" s="23" t="n">
        <v>44056</v>
      </c>
      <c r="C117" s="11" t="s">
        <v>34</v>
      </c>
      <c r="D117" s="24" t="s">
        <v>35</v>
      </c>
      <c r="E117" s="24" t="n">
        <v>1</v>
      </c>
      <c r="F117" s="17" t="n">
        <v>0.6</v>
      </c>
    </row>
    <row r="118" customFormat="false" ht="15.75" hidden="false" customHeight="false" outlineLevel="0" collapsed="false">
      <c r="A118" s="24" t="s">
        <v>179</v>
      </c>
      <c r="B118" s="23" t="n">
        <v>44056</v>
      </c>
      <c r="C118" s="11" t="s">
        <v>95</v>
      </c>
      <c r="D118" s="24" t="s">
        <v>96</v>
      </c>
      <c r="E118" s="24" t="n">
        <v>1</v>
      </c>
      <c r="F118" s="17" t="n">
        <v>0.25</v>
      </c>
    </row>
    <row r="119" customFormat="false" ht="15.75" hidden="false" customHeight="false" outlineLevel="0" collapsed="false">
      <c r="A119" s="24" t="s">
        <v>179</v>
      </c>
      <c r="B119" s="23" t="n">
        <v>44056</v>
      </c>
      <c r="C119" s="7" t="s">
        <v>20</v>
      </c>
      <c r="D119" s="24" t="s">
        <v>21</v>
      </c>
      <c r="E119" s="24" t="n">
        <v>1</v>
      </c>
      <c r="F119" s="17" t="n">
        <v>0.4</v>
      </c>
    </row>
    <row r="120" customFormat="false" ht="15.75" hidden="false" customHeight="false" outlineLevel="0" collapsed="false">
      <c r="A120" s="24" t="s">
        <v>179</v>
      </c>
      <c r="B120" s="23" t="n">
        <v>44056</v>
      </c>
      <c r="C120" s="11" t="s">
        <v>47</v>
      </c>
      <c r="D120" s="24" t="s">
        <v>48</v>
      </c>
      <c r="E120" s="24" t="n">
        <v>1</v>
      </c>
      <c r="F120" s="17" t="n">
        <v>0.24</v>
      </c>
    </row>
    <row r="121" customFormat="false" ht="15.75" hidden="false" customHeight="false" outlineLevel="0" collapsed="false">
      <c r="A121" s="24" t="s">
        <v>179</v>
      </c>
      <c r="B121" s="23" t="n">
        <v>44056</v>
      </c>
      <c r="C121" s="11" t="s">
        <v>125</v>
      </c>
      <c r="D121" s="24" t="s">
        <v>126</v>
      </c>
      <c r="E121" s="24" t="n">
        <v>1</v>
      </c>
      <c r="F121" s="17" t="n">
        <v>0.25</v>
      </c>
    </row>
    <row r="122" customFormat="false" ht="15.75" hidden="false" customHeight="false" outlineLevel="0" collapsed="false">
      <c r="A122" s="24" t="s">
        <v>167</v>
      </c>
      <c r="B122" s="23" t="n">
        <v>44056</v>
      </c>
      <c r="C122" s="7" t="s">
        <v>14</v>
      </c>
      <c r="D122" s="24" t="s">
        <v>15</v>
      </c>
      <c r="E122" s="24" t="n">
        <v>5</v>
      </c>
      <c r="F122" s="17" t="n">
        <v>0.75</v>
      </c>
    </row>
    <row r="123" customFormat="false" ht="15.75" hidden="false" customHeight="false" outlineLevel="0" collapsed="false">
      <c r="A123" s="24" t="s">
        <v>167</v>
      </c>
      <c r="B123" s="23" t="n">
        <v>44056</v>
      </c>
      <c r="C123" s="7" t="s">
        <v>10</v>
      </c>
      <c r="D123" s="24" t="s">
        <v>11</v>
      </c>
      <c r="E123" s="24" t="n">
        <v>1</v>
      </c>
      <c r="F123" s="17" t="n">
        <v>0.25</v>
      </c>
    </row>
    <row r="124" customFormat="false" ht="15.75" hidden="false" customHeight="false" outlineLevel="0" collapsed="false">
      <c r="A124" s="24" t="s">
        <v>167</v>
      </c>
      <c r="B124" s="23" t="n">
        <v>44056</v>
      </c>
      <c r="C124" s="7" t="s">
        <v>12</v>
      </c>
      <c r="D124" s="24" t="s">
        <v>13</v>
      </c>
      <c r="E124" s="24" t="n">
        <v>1</v>
      </c>
      <c r="F124" s="17" t="n">
        <v>0.25</v>
      </c>
    </row>
    <row r="125" customFormat="false" ht="15.75" hidden="false" customHeight="false" outlineLevel="0" collapsed="false">
      <c r="A125" s="24" t="s">
        <v>167</v>
      </c>
      <c r="B125" s="23" t="n">
        <v>44056</v>
      </c>
      <c r="C125" s="7" t="s">
        <v>99</v>
      </c>
      <c r="D125" s="24" t="s">
        <v>100</v>
      </c>
      <c r="E125" s="24" t="n">
        <v>1</v>
      </c>
      <c r="F125" s="17" t="n">
        <v>0.15</v>
      </c>
    </row>
    <row r="126" customFormat="false" ht="15.75" hidden="false" customHeight="false" outlineLevel="0" collapsed="false">
      <c r="A126" s="24" t="s">
        <v>167</v>
      </c>
      <c r="B126" s="23" t="n">
        <v>44056</v>
      </c>
      <c r="C126" s="7" t="s">
        <v>53</v>
      </c>
      <c r="D126" s="24" t="s">
        <v>54</v>
      </c>
      <c r="E126" s="24" t="n">
        <v>1</v>
      </c>
      <c r="F126" s="17" t="n">
        <v>0.15</v>
      </c>
    </row>
    <row r="127" customFormat="false" ht="15.75" hidden="false" customHeight="false" outlineLevel="0" collapsed="false">
      <c r="A127" s="24" t="s">
        <v>167</v>
      </c>
      <c r="B127" s="23" t="n">
        <v>44056</v>
      </c>
      <c r="C127" s="7" t="s">
        <v>41</v>
      </c>
      <c r="D127" s="24" t="s">
        <v>42</v>
      </c>
      <c r="E127" s="24" t="n">
        <v>5</v>
      </c>
      <c r="F127" s="17" t="n">
        <v>1.25</v>
      </c>
    </row>
    <row r="128" customFormat="false" ht="15.75" hidden="false" customHeight="false" outlineLevel="0" collapsed="false">
      <c r="A128" s="24" t="s">
        <v>157</v>
      </c>
      <c r="B128" s="23" t="n">
        <v>44057</v>
      </c>
      <c r="C128" s="7" t="s">
        <v>14</v>
      </c>
      <c r="D128" s="24" t="s">
        <v>15</v>
      </c>
      <c r="E128" s="24" t="n">
        <v>4</v>
      </c>
      <c r="F128" s="17" t="n">
        <v>0.6</v>
      </c>
    </row>
    <row r="129" customFormat="false" ht="15.75" hidden="false" customHeight="false" outlineLevel="0" collapsed="false">
      <c r="A129" s="24" t="s">
        <v>157</v>
      </c>
      <c r="B129" s="23" t="n">
        <v>44057</v>
      </c>
      <c r="C129" s="11" t="s">
        <v>47</v>
      </c>
      <c r="D129" s="24" t="s">
        <v>48</v>
      </c>
      <c r="E129" s="24" t="n">
        <v>2</v>
      </c>
      <c r="F129" s="17" t="n">
        <v>0.48</v>
      </c>
    </row>
    <row r="130" customFormat="false" ht="15.75" hidden="false" customHeight="false" outlineLevel="0" collapsed="false">
      <c r="A130" s="24" t="s">
        <v>174</v>
      </c>
      <c r="B130" s="23" t="n">
        <v>44057</v>
      </c>
      <c r="C130" s="7" t="s">
        <v>28</v>
      </c>
      <c r="D130" s="24" t="s">
        <v>29</v>
      </c>
      <c r="E130" s="24" t="n">
        <v>5</v>
      </c>
      <c r="F130" s="17" t="n">
        <v>2</v>
      </c>
    </row>
    <row r="131" customFormat="false" ht="15.75" hidden="false" customHeight="false" outlineLevel="0" collapsed="false">
      <c r="A131" s="24" t="s">
        <v>174</v>
      </c>
      <c r="B131" s="23" t="n">
        <v>44057</v>
      </c>
      <c r="C131" s="11" t="s">
        <v>97</v>
      </c>
      <c r="D131" s="24" t="s">
        <v>98</v>
      </c>
      <c r="E131" s="24" t="n">
        <v>4</v>
      </c>
      <c r="F131" s="17" t="n">
        <v>1</v>
      </c>
    </row>
    <row r="132" customFormat="false" ht="15.75" hidden="false" customHeight="false" outlineLevel="0" collapsed="false">
      <c r="A132" s="24" t="s">
        <v>174</v>
      </c>
      <c r="B132" s="23" t="n">
        <v>44057</v>
      </c>
      <c r="C132" s="11" t="s">
        <v>32</v>
      </c>
      <c r="D132" s="24" t="s">
        <v>33</v>
      </c>
      <c r="E132" s="24" t="n">
        <v>4</v>
      </c>
      <c r="F132" s="17" t="n">
        <v>1.6</v>
      </c>
    </row>
    <row r="133" customFormat="false" ht="15.75" hidden="false" customHeight="false" outlineLevel="0" collapsed="false">
      <c r="A133" s="24" t="s">
        <v>180</v>
      </c>
      <c r="B133" s="23" t="n">
        <v>44057</v>
      </c>
      <c r="C133" s="7" t="s">
        <v>28</v>
      </c>
      <c r="D133" s="24" t="s">
        <v>29</v>
      </c>
      <c r="E133" s="24" t="n">
        <v>4</v>
      </c>
      <c r="F133" s="17" t="n">
        <v>1.6</v>
      </c>
    </row>
    <row r="134" customFormat="false" ht="15.75" hidden="false" customHeight="false" outlineLevel="0" collapsed="false">
      <c r="A134" s="24" t="s">
        <v>180</v>
      </c>
      <c r="B134" s="23" t="n">
        <v>44057</v>
      </c>
      <c r="C134" s="7" t="s">
        <v>30</v>
      </c>
      <c r="D134" s="24" t="s">
        <v>31</v>
      </c>
      <c r="E134" s="24" t="n">
        <v>2</v>
      </c>
      <c r="F134" s="17" t="n">
        <v>1.2</v>
      </c>
    </row>
    <row r="135" customFormat="false" ht="15.75" hidden="false" customHeight="false" outlineLevel="0" collapsed="false">
      <c r="A135" s="24" t="s">
        <v>180</v>
      </c>
      <c r="B135" s="23" t="n">
        <v>44057</v>
      </c>
      <c r="C135" s="7" t="s">
        <v>22</v>
      </c>
      <c r="D135" s="24" t="s">
        <v>23</v>
      </c>
      <c r="E135" s="24" t="n">
        <v>2</v>
      </c>
      <c r="F135" s="17" t="n">
        <v>1.2</v>
      </c>
    </row>
    <row r="136" customFormat="false" ht="15.75" hidden="false" customHeight="false" outlineLevel="0" collapsed="false">
      <c r="A136" s="24" t="s">
        <v>180</v>
      </c>
      <c r="B136" s="23" t="n">
        <v>44057</v>
      </c>
      <c r="C136" s="11" t="s">
        <v>125</v>
      </c>
      <c r="D136" s="24" t="s">
        <v>126</v>
      </c>
      <c r="E136" s="24" t="n">
        <v>4</v>
      </c>
      <c r="F136" s="17" t="n">
        <v>1</v>
      </c>
    </row>
    <row r="137" customFormat="false" ht="15.75" hidden="false" customHeight="false" outlineLevel="0" collapsed="false">
      <c r="A137" s="24" t="s">
        <v>181</v>
      </c>
      <c r="B137" s="23" t="n">
        <v>44057</v>
      </c>
      <c r="C137" s="7" t="s">
        <v>22</v>
      </c>
      <c r="D137" s="24" t="s">
        <v>23</v>
      </c>
      <c r="E137" s="24" t="n">
        <v>12</v>
      </c>
      <c r="F137" s="17" t="n">
        <v>7.2</v>
      </c>
    </row>
    <row r="138" customFormat="false" ht="15.75" hidden="false" customHeight="false" outlineLevel="0" collapsed="false">
      <c r="A138" s="24" t="s">
        <v>181</v>
      </c>
      <c r="B138" s="23" t="n">
        <v>44057</v>
      </c>
      <c r="C138" s="7" t="s">
        <v>30</v>
      </c>
      <c r="D138" s="24" t="s">
        <v>31</v>
      </c>
      <c r="E138" s="24" t="n">
        <v>12</v>
      </c>
      <c r="F138" s="17" t="n">
        <v>7.2</v>
      </c>
    </row>
    <row r="139" customFormat="false" ht="15.75" hidden="false" customHeight="false" outlineLevel="0" collapsed="false">
      <c r="A139" s="24" t="s">
        <v>181</v>
      </c>
      <c r="B139" s="23" t="n">
        <v>44057</v>
      </c>
      <c r="C139" s="11" t="s">
        <v>47</v>
      </c>
      <c r="D139" s="24" t="s">
        <v>48</v>
      </c>
      <c r="E139" s="24" t="n">
        <v>12</v>
      </c>
      <c r="F139" s="17" t="n">
        <v>2.88</v>
      </c>
    </row>
    <row r="140" customFormat="false" ht="15.75" hidden="false" customHeight="false" outlineLevel="0" collapsed="false">
      <c r="A140" s="24" t="s">
        <v>156</v>
      </c>
      <c r="B140" s="23" t="n">
        <v>44060</v>
      </c>
      <c r="C140" s="7" t="s">
        <v>69</v>
      </c>
      <c r="D140" s="24" t="s">
        <v>70</v>
      </c>
      <c r="E140" s="24" t="n">
        <v>5</v>
      </c>
      <c r="F140" s="17" t="n">
        <v>1.25</v>
      </c>
    </row>
    <row r="141" customFormat="false" ht="15.75" hidden="false" customHeight="false" outlineLevel="0" collapsed="false">
      <c r="A141" s="24" t="s">
        <v>156</v>
      </c>
      <c r="B141" s="23" t="n">
        <v>44060</v>
      </c>
      <c r="C141" s="11" t="s">
        <v>117</v>
      </c>
      <c r="D141" s="24" t="s">
        <v>118</v>
      </c>
      <c r="E141" s="24" t="n">
        <v>20</v>
      </c>
      <c r="F141" s="17" t="n">
        <v>4</v>
      </c>
    </row>
    <row r="142" customFormat="false" ht="15.75" hidden="false" customHeight="false" outlineLevel="0" collapsed="false">
      <c r="A142" s="24" t="s">
        <v>156</v>
      </c>
      <c r="B142" s="23" t="n">
        <v>44060</v>
      </c>
      <c r="C142" s="7" t="s">
        <v>28</v>
      </c>
      <c r="D142" s="24" t="s">
        <v>29</v>
      </c>
      <c r="E142" s="24" t="n">
        <v>3</v>
      </c>
      <c r="F142" s="17" t="n">
        <v>1.2</v>
      </c>
    </row>
    <row r="143" customFormat="false" ht="15.75" hidden="false" customHeight="false" outlineLevel="0" collapsed="false">
      <c r="A143" s="24" t="s">
        <v>156</v>
      </c>
      <c r="B143" s="23" t="n">
        <v>44060</v>
      </c>
      <c r="C143" s="7" t="s">
        <v>30</v>
      </c>
      <c r="D143" s="24" t="s">
        <v>31</v>
      </c>
      <c r="E143" s="24" t="n">
        <v>3</v>
      </c>
      <c r="F143" s="17" t="n">
        <v>1.8</v>
      </c>
    </row>
    <row r="144" customFormat="false" ht="15.75" hidden="false" customHeight="false" outlineLevel="0" collapsed="false">
      <c r="A144" s="24" t="s">
        <v>156</v>
      </c>
      <c r="B144" s="23" t="n">
        <v>44060</v>
      </c>
      <c r="C144" s="7" t="s">
        <v>20</v>
      </c>
      <c r="D144" s="24" t="s">
        <v>21</v>
      </c>
      <c r="E144" s="24" t="n">
        <v>5</v>
      </c>
      <c r="F144" s="17" t="n">
        <v>2</v>
      </c>
    </row>
    <row r="145" customFormat="false" ht="15.75" hidden="false" customHeight="false" outlineLevel="0" collapsed="false">
      <c r="A145" s="24" t="s">
        <v>156</v>
      </c>
      <c r="B145" s="23" t="n">
        <v>44060</v>
      </c>
      <c r="C145" s="7" t="s">
        <v>22</v>
      </c>
      <c r="D145" s="24" t="s">
        <v>23</v>
      </c>
      <c r="E145" s="24" t="n">
        <v>5</v>
      </c>
      <c r="F145" s="17" t="n">
        <v>3</v>
      </c>
    </row>
    <row r="146" customFormat="false" ht="15.75" hidden="false" customHeight="false" outlineLevel="0" collapsed="false">
      <c r="A146" s="24" t="s">
        <v>156</v>
      </c>
      <c r="B146" s="23" t="n">
        <v>44060</v>
      </c>
      <c r="C146" s="7" t="s">
        <v>93</v>
      </c>
      <c r="D146" s="24" t="s">
        <v>94</v>
      </c>
      <c r="E146" s="24" t="n">
        <v>5</v>
      </c>
      <c r="F146" s="17" t="n">
        <v>1.75</v>
      </c>
    </row>
    <row r="147" customFormat="false" ht="15.75" hidden="false" customHeight="false" outlineLevel="0" collapsed="false">
      <c r="A147" s="24" t="s">
        <v>156</v>
      </c>
      <c r="B147" s="23" t="n">
        <v>44060</v>
      </c>
      <c r="C147" s="7" t="s">
        <v>14</v>
      </c>
      <c r="D147" s="24" t="s">
        <v>15</v>
      </c>
      <c r="E147" s="24" t="n">
        <v>5</v>
      </c>
      <c r="F147" s="17" t="n">
        <v>0.75</v>
      </c>
    </row>
    <row r="148" customFormat="false" ht="15.75" hidden="false" customHeight="false" outlineLevel="0" collapsed="false">
      <c r="A148" s="24" t="s">
        <v>156</v>
      </c>
      <c r="B148" s="23" t="n">
        <v>44060</v>
      </c>
      <c r="C148" s="11" t="s">
        <v>125</v>
      </c>
      <c r="D148" s="24" t="s">
        <v>126</v>
      </c>
      <c r="E148" s="24" t="n">
        <v>10</v>
      </c>
      <c r="F148" s="17" t="n">
        <v>2.5</v>
      </c>
    </row>
    <row r="149" customFormat="false" ht="15.75" hidden="false" customHeight="false" outlineLevel="0" collapsed="false">
      <c r="A149" s="24" t="s">
        <v>156</v>
      </c>
      <c r="B149" s="23" t="n">
        <v>44060</v>
      </c>
      <c r="C149" s="11" t="s">
        <v>83</v>
      </c>
      <c r="D149" s="24" t="s">
        <v>84</v>
      </c>
      <c r="E149" s="24" t="n">
        <v>5</v>
      </c>
      <c r="F149" s="17" t="n">
        <v>2.5</v>
      </c>
    </row>
    <row r="150" customFormat="false" ht="15.75" hidden="false" customHeight="false" outlineLevel="0" collapsed="false">
      <c r="A150" s="24" t="s">
        <v>156</v>
      </c>
      <c r="B150" s="23" t="n">
        <v>44060</v>
      </c>
      <c r="C150" s="7" t="s">
        <v>18</v>
      </c>
      <c r="D150" s="24" t="s">
        <v>19</v>
      </c>
      <c r="E150" s="24" t="n">
        <v>5</v>
      </c>
      <c r="F150" s="17" t="n">
        <v>1.25</v>
      </c>
    </row>
    <row r="151" customFormat="false" ht="15.75" hidden="false" customHeight="false" outlineLevel="0" collapsed="false">
      <c r="A151" s="24" t="s">
        <v>156</v>
      </c>
      <c r="B151" s="23" t="n">
        <v>44060</v>
      </c>
      <c r="C151" s="11" t="s">
        <v>95</v>
      </c>
      <c r="D151" s="24" t="s">
        <v>96</v>
      </c>
      <c r="E151" s="24" t="n">
        <v>10</v>
      </c>
      <c r="F151" s="17" t="n">
        <v>2.5</v>
      </c>
    </row>
    <row r="152" customFormat="false" ht="15.75" hidden="false" customHeight="false" outlineLevel="0" collapsed="false">
      <c r="A152" s="24" t="s">
        <v>182</v>
      </c>
      <c r="B152" s="23" t="n">
        <v>44061</v>
      </c>
      <c r="C152" s="11" t="s">
        <v>47</v>
      </c>
      <c r="D152" s="24" t="s">
        <v>48</v>
      </c>
      <c r="E152" s="24" t="n">
        <v>13</v>
      </c>
      <c r="F152" s="17" t="n">
        <v>3.12</v>
      </c>
    </row>
    <row r="153" customFormat="false" ht="15.75" hidden="false" customHeight="false" outlineLevel="0" collapsed="false">
      <c r="A153" s="24" t="s">
        <v>182</v>
      </c>
      <c r="B153" s="23" t="n">
        <v>44061</v>
      </c>
      <c r="C153" s="7" t="s">
        <v>41</v>
      </c>
      <c r="D153" s="24" t="s">
        <v>42</v>
      </c>
      <c r="E153" s="24" t="n">
        <v>2</v>
      </c>
      <c r="F153" s="17" t="n">
        <v>0.5</v>
      </c>
    </row>
    <row r="154" customFormat="false" ht="15.75" hidden="false" customHeight="false" outlineLevel="0" collapsed="false">
      <c r="A154" s="24" t="s">
        <v>182</v>
      </c>
      <c r="B154" s="23" t="n">
        <v>44061</v>
      </c>
      <c r="C154" s="7" t="s">
        <v>20</v>
      </c>
      <c r="D154" s="24" t="s">
        <v>21</v>
      </c>
      <c r="E154" s="24" t="n">
        <v>1</v>
      </c>
      <c r="F154" s="17" t="n">
        <v>0.4</v>
      </c>
    </row>
    <row r="155" customFormat="false" ht="15.75" hidden="false" customHeight="false" outlineLevel="0" collapsed="false">
      <c r="A155" s="22" t="s">
        <v>185</v>
      </c>
      <c r="B155" s="23" t="n">
        <v>44061</v>
      </c>
      <c r="C155" s="11" t="s">
        <v>113</v>
      </c>
      <c r="D155" s="24" t="s">
        <v>114</v>
      </c>
      <c r="E155" s="24" t="n">
        <v>10</v>
      </c>
      <c r="F155" s="17" t="n">
        <v>5</v>
      </c>
    </row>
    <row r="156" customFormat="false" ht="15.75" hidden="false" customHeight="false" outlineLevel="0" collapsed="false">
      <c r="A156" s="24" t="s">
        <v>186</v>
      </c>
      <c r="B156" s="23" t="n">
        <v>44061</v>
      </c>
      <c r="C156" s="11" t="s">
        <v>115</v>
      </c>
      <c r="D156" s="24" t="s">
        <v>116</v>
      </c>
      <c r="E156" s="24" t="n">
        <v>20</v>
      </c>
      <c r="F156" s="17" t="n">
        <v>2</v>
      </c>
    </row>
    <row r="157" customFormat="false" ht="15.75" hidden="false" customHeight="false" outlineLevel="0" collapsed="false">
      <c r="A157" s="24" t="s">
        <v>169</v>
      </c>
      <c r="B157" s="23" t="n">
        <v>44062</v>
      </c>
      <c r="C157" s="7" t="s">
        <v>73</v>
      </c>
      <c r="D157" s="24" t="s">
        <v>74</v>
      </c>
      <c r="E157" s="24" t="n">
        <v>4.875</v>
      </c>
      <c r="F157" s="17" t="n">
        <v>4.875</v>
      </c>
    </row>
    <row r="158" customFormat="false" ht="15.75" hidden="false" customHeight="false" outlineLevel="0" collapsed="false">
      <c r="A158" s="24" t="s">
        <v>169</v>
      </c>
      <c r="B158" s="23" t="n">
        <v>44062</v>
      </c>
      <c r="C158" s="11" t="s">
        <v>129</v>
      </c>
      <c r="D158" s="24" t="s">
        <v>130</v>
      </c>
      <c r="E158" s="24" t="n">
        <v>2.95</v>
      </c>
      <c r="F158" s="17" t="n">
        <v>2.95</v>
      </c>
    </row>
    <row r="159" customFormat="false" ht="15.75" hidden="false" customHeight="false" outlineLevel="0" collapsed="false">
      <c r="A159" s="24" t="s">
        <v>169</v>
      </c>
      <c r="B159" s="23" t="n">
        <v>44062</v>
      </c>
      <c r="C159" s="11" t="s">
        <v>133</v>
      </c>
      <c r="D159" s="24" t="s">
        <v>134</v>
      </c>
      <c r="E159" s="24" t="n">
        <v>2.98</v>
      </c>
      <c r="F159" s="17" t="n">
        <v>2.98</v>
      </c>
    </row>
    <row r="160" customFormat="false" ht="15.75" hidden="false" customHeight="false" outlineLevel="0" collapsed="false">
      <c r="A160" s="24" t="s">
        <v>169</v>
      </c>
      <c r="B160" s="23" t="n">
        <v>44062</v>
      </c>
      <c r="C160" s="7" t="s">
        <v>79</v>
      </c>
      <c r="D160" s="24" t="s">
        <v>80</v>
      </c>
      <c r="E160" s="24" t="n">
        <v>6.3</v>
      </c>
      <c r="F160" s="17" t="n">
        <v>6.3</v>
      </c>
    </row>
    <row r="161" customFormat="false" ht="15.75" hidden="false" customHeight="false" outlineLevel="0" collapsed="false">
      <c r="A161" s="24" t="s">
        <v>169</v>
      </c>
      <c r="B161" s="23" t="n">
        <v>44062</v>
      </c>
      <c r="C161" s="11" t="s">
        <v>143</v>
      </c>
      <c r="D161" s="24" t="s">
        <v>144</v>
      </c>
      <c r="E161" s="24" t="n">
        <v>2.99</v>
      </c>
      <c r="F161" s="17" t="n">
        <v>2.99</v>
      </c>
    </row>
    <row r="162" customFormat="false" ht="15.75" hidden="false" customHeight="false" outlineLevel="0" collapsed="false">
      <c r="A162" s="24" t="s">
        <v>169</v>
      </c>
      <c r="B162" s="23" t="n">
        <v>44062</v>
      </c>
      <c r="C162" s="7" t="s">
        <v>20</v>
      </c>
      <c r="D162" s="24" t="s">
        <v>21</v>
      </c>
      <c r="E162" s="24" t="n">
        <v>5</v>
      </c>
      <c r="F162" s="17" t="n">
        <v>2</v>
      </c>
    </row>
    <row r="163" customFormat="false" ht="15.75" hidden="false" customHeight="false" outlineLevel="0" collapsed="false">
      <c r="A163" s="24" t="s">
        <v>169</v>
      </c>
      <c r="B163" s="23" t="n">
        <v>44062</v>
      </c>
      <c r="C163" s="7" t="s">
        <v>18</v>
      </c>
      <c r="D163" s="24" t="s">
        <v>19</v>
      </c>
      <c r="E163" s="24" t="n">
        <v>6</v>
      </c>
      <c r="F163" s="17" t="n">
        <v>1.5</v>
      </c>
    </row>
    <row r="164" customFormat="false" ht="15.75" hidden="false" customHeight="false" outlineLevel="0" collapsed="false">
      <c r="A164" s="24" t="s">
        <v>169</v>
      </c>
      <c r="B164" s="23" t="n">
        <v>44062</v>
      </c>
      <c r="C164" s="7" t="s">
        <v>26</v>
      </c>
      <c r="D164" s="24" t="s">
        <v>27</v>
      </c>
      <c r="E164" s="24" t="n">
        <v>6</v>
      </c>
      <c r="F164" s="17" t="n">
        <v>1.5</v>
      </c>
    </row>
    <row r="165" customFormat="false" ht="15.75" hidden="false" customHeight="false" outlineLevel="0" collapsed="false">
      <c r="A165" s="24" t="s">
        <v>169</v>
      </c>
      <c r="B165" s="23" t="n">
        <v>44062</v>
      </c>
      <c r="C165" s="7" t="s">
        <v>14</v>
      </c>
      <c r="D165" s="24" t="s">
        <v>15</v>
      </c>
      <c r="E165" s="24" t="n">
        <v>5</v>
      </c>
      <c r="F165" s="17" t="n">
        <v>0.75</v>
      </c>
    </row>
    <row r="166" customFormat="false" ht="15.75" hidden="false" customHeight="false" outlineLevel="0" collapsed="false">
      <c r="A166" s="24" t="s">
        <v>169</v>
      </c>
      <c r="B166" s="23" t="n">
        <v>44062</v>
      </c>
      <c r="C166" s="11" t="s">
        <v>47</v>
      </c>
      <c r="D166" s="24" t="s">
        <v>48</v>
      </c>
      <c r="E166" s="24" t="n">
        <v>5</v>
      </c>
      <c r="F166" s="17" t="n">
        <v>1.2</v>
      </c>
    </row>
    <row r="167" customFormat="false" ht="15.75" hidden="false" customHeight="false" outlineLevel="0" collapsed="false">
      <c r="A167" s="24" t="s">
        <v>169</v>
      </c>
      <c r="B167" s="23" t="n">
        <v>44062</v>
      </c>
      <c r="C167" s="11" t="s">
        <v>117</v>
      </c>
      <c r="D167" s="24" t="s">
        <v>118</v>
      </c>
      <c r="E167" s="24" t="n">
        <v>5</v>
      </c>
      <c r="F167" s="17" t="n">
        <v>1</v>
      </c>
    </row>
    <row r="168" customFormat="false" ht="15.75" hidden="false" customHeight="false" outlineLevel="0" collapsed="false">
      <c r="A168" s="24" t="s">
        <v>187</v>
      </c>
      <c r="B168" s="23" t="n">
        <v>44062</v>
      </c>
      <c r="C168" s="7" t="s">
        <v>28</v>
      </c>
      <c r="D168" s="24" t="s">
        <v>29</v>
      </c>
      <c r="E168" s="24" t="n">
        <v>8</v>
      </c>
      <c r="F168" s="17" t="n">
        <v>3.2</v>
      </c>
    </row>
    <row r="169" customFormat="false" ht="15.75" hidden="false" customHeight="false" outlineLevel="0" collapsed="false">
      <c r="A169" s="24" t="s">
        <v>187</v>
      </c>
      <c r="B169" s="23" t="n">
        <v>44062</v>
      </c>
      <c r="C169" s="7" t="s">
        <v>20</v>
      </c>
      <c r="D169" s="24" t="s">
        <v>21</v>
      </c>
      <c r="E169" s="24" t="n">
        <v>8</v>
      </c>
      <c r="F169" s="17" t="n">
        <v>3.2</v>
      </c>
    </row>
    <row r="170" customFormat="false" ht="15.75" hidden="false" customHeight="false" outlineLevel="0" collapsed="false">
      <c r="A170" s="24" t="s">
        <v>187</v>
      </c>
      <c r="B170" s="23" t="n">
        <v>44062</v>
      </c>
      <c r="C170" s="11" t="s">
        <v>97</v>
      </c>
      <c r="D170" s="24" t="s">
        <v>98</v>
      </c>
      <c r="E170" s="24" t="n">
        <v>8</v>
      </c>
      <c r="F170" s="17" t="n">
        <v>2</v>
      </c>
    </row>
    <row r="171" customFormat="false" ht="15.75" hidden="false" customHeight="false" outlineLevel="0" collapsed="false">
      <c r="A171" s="24" t="s">
        <v>187</v>
      </c>
      <c r="B171" s="23" t="n">
        <v>44062</v>
      </c>
      <c r="C171" s="11" t="s">
        <v>32</v>
      </c>
      <c r="D171" s="24" t="s">
        <v>33</v>
      </c>
      <c r="E171" s="24" t="n">
        <v>8</v>
      </c>
      <c r="F171" s="17" t="n">
        <v>3.2</v>
      </c>
    </row>
    <row r="172" customFormat="false" ht="15.75" hidden="false" customHeight="false" outlineLevel="0" collapsed="false">
      <c r="A172" s="24" t="s">
        <v>188</v>
      </c>
      <c r="B172" s="23" t="n">
        <v>44062</v>
      </c>
      <c r="C172" s="11" t="s">
        <v>51</v>
      </c>
      <c r="D172" s="24" t="s">
        <v>52</v>
      </c>
      <c r="E172" s="24" t="n">
        <v>25</v>
      </c>
      <c r="F172" s="17" t="n">
        <v>25</v>
      </c>
    </row>
    <row r="173" customFormat="false" ht="15.75" hidden="false" customHeight="false" outlineLevel="0" collapsed="false">
      <c r="A173" s="24" t="s">
        <v>190</v>
      </c>
      <c r="B173" s="23" t="n">
        <v>44062</v>
      </c>
      <c r="C173" s="7" t="s">
        <v>28</v>
      </c>
      <c r="D173" s="24" t="s">
        <v>29</v>
      </c>
      <c r="E173" s="24" t="n">
        <v>8</v>
      </c>
      <c r="F173" s="17" t="n">
        <v>3.2</v>
      </c>
    </row>
    <row r="174" customFormat="false" ht="15.75" hidden="false" customHeight="false" outlineLevel="0" collapsed="false">
      <c r="A174" s="24" t="s">
        <v>190</v>
      </c>
      <c r="B174" s="23" t="n">
        <v>44062</v>
      </c>
      <c r="C174" s="7" t="s">
        <v>20</v>
      </c>
      <c r="D174" s="24" t="s">
        <v>21</v>
      </c>
      <c r="E174" s="24" t="n">
        <v>8</v>
      </c>
      <c r="F174" s="17" t="n">
        <v>3.2</v>
      </c>
    </row>
    <row r="175" customFormat="false" ht="15.75" hidden="false" customHeight="false" outlineLevel="0" collapsed="false">
      <c r="A175" s="24" t="s">
        <v>190</v>
      </c>
      <c r="B175" s="23" t="n">
        <v>44062</v>
      </c>
      <c r="C175" s="11" t="s">
        <v>32</v>
      </c>
      <c r="D175" s="24" t="s">
        <v>33</v>
      </c>
      <c r="E175" s="24" t="n">
        <v>8</v>
      </c>
      <c r="F175" s="17" t="n">
        <v>3.2</v>
      </c>
    </row>
    <row r="176" customFormat="false" ht="15.75" hidden="false" customHeight="false" outlineLevel="0" collapsed="false">
      <c r="A176" s="24" t="s">
        <v>190</v>
      </c>
      <c r="B176" s="23" t="n">
        <v>44062</v>
      </c>
      <c r="C176" s="7" t="s">
        <v>14</v>
      </c>
      <c r="D176" s="24" t="s">
        <v>15</v>
      </c>
      <c r="E176" s="24" t="n">
        <v>12</v>
      </c>
      <c r="F176" s="17" t="n">
        <v>1.8</v>
      </c>
    </row>
    <row r="177" customFormat="false" ht="15.75" hidden="false" customHeight="false" outlineLevel="0" collapsed="false">
      <c r="A177" s="24" t="s">
        <v>190</v>
      </c>
      <c r="B177" s="23" t="n">
        <v>44062</v>
      </c>
      <c r="C177" s="11" t="s">
        <v>117</v>
      </c>
      <c r="D177" s="24" t="s">
        <v>118</v>
      </c>
      <c r="E177" s="24" t="n">
        <v>12</v>
      </c>
      <c r="F177" s="17" t="n">
        <v>2.4</v>
      </c>
    </row>
    <row r="178" customFormat="false" ht="15.75" hidden="false" customHeight="false" outlineLevel="0" collapsed="false">
      <c r="A178" s="24" t="s">
        <v>190</v>
      </c>
      <c r="B178" s="23" t="n">
        <v>44062</v>
      </c>
      <c r="C178" s="11" t="s">
        <v>97</v>
      </c>
      <c r="D178" s="24" t="s">
        <v>98</v>
      </c>
      <c r="E178" s="24" t="n">
        <v>6</v>
      </c>
      <c r="F178" s="17" t="n">
        <v>1.5</v>
      </c>
    </row>
    <row r="179" customFormat="false" ht="15.75" hidden="false" customHeight="false" outlineLevel="0" collapsed="false">
      <c r="A179" s="24" t="s">
        <v>190</v>
      </c>
      <c r="B179" s="23" t="n">
        <v>44062</v>
      </c>
      <c r="C179" s="7" t="s">
        <v>75</v>
      </c>
      <c r="D179" s="24" t="s">
        <v>76</v>
      </c>
      <c r="E179" s="24" t="n">
        <v>8</v>
      </c>
      <c r="F179" s="17" t="n">
        <v>2</v>
      </c>
    </row>
    <row r="180" customFormat="false" ht="15.75" hidden="false" customHeight="false" outlineLevel="0" collapsed="false">
      <c r="A180" s="24" t="s">
        <v>190</v>
      </c>
      <c r="B180" s="23" t="n">
        <v>44062</v>
      </c>
      <c r="C180" s="11" t="s">
        <v>131</v>
      </c>
      <c r="D180" s="24" t="s">
        <v>132</v>
      </c>
      <c r="E180" s="24" t="n">
        <v>12</v>
      </c>
      <c r="F180" s="17" t="n">
        <v>3</v>
      </c>
    </row>
    <row r="181" customFormat="false" ht="15.75" hidden="false" customHeight="false" outlineLevel="0" collapsed="false">
      <c r="A181" s="24" t="s">
        <v>190</v>
      </c>
      <c r="B181" s="23" t="n">
        <v>44062</v>
      </c>
      <c r="C181" s="11" t="s">
        <v>87</v>
      </c>
      <c r="D181" s="24" t="s">
        <v>88</v>
      </c>
      <c r="E181" s="24" t="n">
        <v>6</v>
      </c>
      <c r="F181" s="17" t="n">
        <v>1.5</v>
      </c>
    </row>
    <row r="182" customFormat="false" ht="15.75" hidden="false" customHeight="false" outlineLevel="0" collapsed="false">
      <c r="A182" s="24" t="s">
        <v>191</v>
      </c>
      <c r="B182" s="23" t="n">
        <v>44062</v>
      </c>
      <c r="C182" s="11" t="s">
        <v>83</v>
      </c>
      <c r="D182" s="24" t="s">
        <v>84</v>
      </c>
      <c r="E182" s="24" t="n">
        <v>20</v>
      </c>
      <c r="F182" s="17" t="n">
        <v>10</v>
      </c>
    </row>
    <row r="183" customFormat="false" ht="15.75" hidden="false" customHeight="false" outlineLevel="0" collapsed="false">
      <c r="A183" s="24" t="s">
        <v>191</v>
      </c>
      <c r="B183" s="23" t="n">
        <v>44062</v>
      </c>
      <c r="C183" s="7" t="s">
        <v>43</v>
      </c>
      <c r="D183" s="24" t="s">
        <v>44</v>
      </c>
      <c r="E183" s="24" t="n">
        <v>2</v>
      </c>
      <c r="F183" s="17" t="n">
        <v>4</v>
      </c>
    </row>
    <row r="184" customFormat="false" ht="15.75" hidden="false" customHeight="false" outlineLevel="0" collapsed="false">
      <c r="A184" s="24" t="s">
        <v>191</v>
      </c>
      <c r="B184" s="23" t="n">
        <v>44062</v>
      </c>
      <c r="C184" s="7" t="s">
        <v>75</v>
      </c>
      <c r="D184" s="24" t="s">
        <v>76</v>
      </c>
      <c r="E184" s="24" t="n">
        <v>4</v>
      </c>
      <c r="F184" s="17" t="n">
        <v>1</v>
      </c>
    </row>
    <row r="185" customFormat="false" ht="15.75" hidden="false" customHeight="false" outlineLevel="0" collapsed="false">
      <c r="A185" s="24" t="s">
        <v>191</v>
      </c>
      <c r="B185" s="23" t="n">
        <v>44062</v>
      </c>
      <c r="C185" s="11" t="s">
        <v>117</v>
      </c>
      <c r="D185" s="24" t="s">
        <v>118</v>
      </c>
      <c r="E185" s="24" t="n">
        <v>5</v>
      </c>
      <c r="F185" s="17" t="n">
        <v>1</v>
      </c>
    </row>
    <row r="186" customFormat="false" ht="15.75" hidden="false" customHeight="false" outlineLevel="0" collapsed="false">
      <c r="A186" s="24" t="s">
        <v>196</v>
      </c>
      <c r="B186" s="23" t="n">
        <v>44062</v>
      </c>
      <c r="C186" s="7" t="s">
        <v>28</v>
      </c>
      <c r="D186" s="24" t="s">
        <v>29</v>
      </c>
      <c r="E186" s="24" t="n">
        <v>1</v>
      </c>
      <c r="F186" s="17" t="n">
        <v>0.4</v>
      </c>
    </row>
    <row r="187" customFormat="false" ht="15.75" hidden="false" customHeight="false" outlineLevel="0" collapsed="false">
      <c r="A187" s="24" t="s">
        <v>196</v>
      </c>
      <c r="B187" s="23" t="n">
        <v>44062</v>
      </c>
      <c r="C187" s="7" t="s">
        <v>30</v>
      </c>
      <c r="D187" s="24" t="s">
        <v>31</v>
      </c>
      <c r="E187" s="24" t="n">
        <v>1</v>
      </c>
      <c r="F187" s="17" t="n">
        <v>0.6</v>
      </c>
    </row>
    <row r="188" customFormat="false" ht="15.75" hidden="false" customHeight="false" outlineLevel="0" collapsed="false">
      <c r="A188" s="24" t="s">
        <v>196</v>
      </c>
      <c r="B188" s="23" t="n">
        <v>44062</v>
      </c>
      <c r="C188" s="7" t="s">
        <v>20</v>
      </c>
      <c r="D188" s="24" t="s">
        <v>21</v>
      </c>
      <c r="E188" s="24" t="n">
        <v>1</v>
      </c>
      <c r="F188" s="17" t="n">
        <v>0.4</v>
      </c>
    </row>
    <row r="189" customFormat="false" ht="15.75" hidden="false" customHeight="false" outlineLevel="0" collapsed="false">
      <c r="A189" s="24" t="s">
        <v>196</v>
      </c>
      <c r="B189" s="23" t="n">
        <v>44062</v>
      </c>
      <c r="C189" s="7" t="s">
        <v>22</v>
      </c>
      <c r="D189" s="24" t="s">
        <v>23</v>
      </c>
      <c r="E189" s="24" t="n">
        <v>1</v>
      </c>
      <c r="F189" s="17" t="n">
        <v>0.6</v>
      </c>
    </row>
    <row r="190" customFormat="false" ht="15.75" hidden="false" customHeight="false" outlineLevel="0" collapsed="false">
      <c r="A190" s="24" t="s">
        <v>196</v>
      </c>
      <c r="B190" s="23" t="n">
        <v>44062</v>
      </c>
      <c r="C190" s="11" t="s">
        <v>125</v>
      </c>
      <c r="D190" s="24" t="s">
        <v>126</v>
      </c>
      <c r="E190" s="24" t="n">
        <v>4</v>
      </c>
      <c r="F190" s="17" t="n">
        <v>1</v>
      </c>
    </row>
    <row r="191" customFormat="false" ht="15.75" hidden="false" customHeight="false" outlineLevel="0" collapsed="false">
      <c r="A191" s="24" t="s">
        <v>196</v>
      </c>
      <c r="B191" s="23" t="n">
        <v>44062</v>
      </c>
      <c r="C191" s="11" t="s">
        <v>95</v>
      </c>
      <c r="D191" s="24" t="s">
        <v>96</v>
      </c>
      <c r="E191" s="24" t="n">
        <v>2</v>
      </c>
      <c r="F191" s="17" t="n">
        <v>0.5</v>
      </c>
    </row>
    <row r="192" customFormat="false" ht="15.75" hidden="false" customHeight="false" outlineLevel="0" collapsed="false">
      <c r="A192" s="24" t="s">
        <v>196</v>
      </c>
      <c r="B192" s="23" t="n">
        <v>44062</v>
      </c>
      <c r="C192" s="11" t="s">
        <v>117</v>
      </c>
      <c r="D192" s="24" t="s">
        <v>118</v>
      </c>
      <c r="E192" s="24" t="n">
        <v>1</v>
      </c>
      <c r="F192" s="17" t="n">
        <v>0.2</v>
      </c>
    </row>
    <row r="193" customFormat="false" ht="15.75" hidden="false" customHeight="false" outlineLevel="0" collapsed="false">
      <c r="A193" s="24" t="s">
        <v>196</v>
      </c>
      <c r="B193" s="23" t="n">
        <v>44062</v>
      </c>
      <c r="C193" s="11" t="s">
        <v>83</v>
      </c>
      <c r="D193" s="24" t="s">
        <v>84</v>
      </c>
      <c r="E193" s="24" t="n">
        <v>1</v>
      </c>
      <c r="F193" s="17" t="n">
        <v>0.5</v>
      </c>
    </row>
    <row r="194" customFormat="false" ht="15.75" hidden="false" customHeight="false" outlineLevel="0" collapsed="false">
      <c r="A194" s="24" t="s">
        <v>196</v>
      </c>
      <c r="B194" s="23" t="n">
        <v>44062</v>
      </c>
      <c r="C194" s="7" t="s">
        <v>4</v>
      </c>
      <c r="D194" s="24" t="s">
        <v>5</v>
      </c>
      <c r="E194" s="24" t="n">
        <v>1</v>
      </c>
      <c r="F194" s="17" t="n">
        <v>0.25</v>
      </c>
    </row>
    <row r="195" customFormat="false" ht="15.75" hidden="false" customHeight="false" outlineLevel="0" collapsed="false">
      <c r="A195" s="24" t="s">
        <v>196</v>
      </c>
      <c r="B195" s="23" t="n">
        <v>44062</v>
      </c>
      <c r="C195" s="11" t="s">
        <v>131</v>
      </c>
      <c r="D195" s="24" t="s">
        <v>132</v>
      </c>
      <c r="E195" s="24" t="n">
        <v>1</v>
      </c>
      <c r="F195" s="17" t="n">
        <v>0.25</v>
      </c>
    </row>
    <row r="196" customFormat="false" ht="15.75" hidden="false" customHeight="false" outlineLevel="0" collapsed="false">
      <c r="A196" s="24" t="s">
        <v>196</v>
      </c>
      <c r="B196" s="23" t="n">
        <v>44062</v>
      </c>
      <c r="C196" s="11" t="s">
        <v>32</v>
      </c>
      <c r="D196" s="24" t="s">
        <v>33</v>
      </c>
      <c r="E196" s="24" t="n">
        <v>1</v>
      </c>
      <c r="F196" s="17" t="n">
        <v>0.4</v>
      </c>
    </row>
    <row r="197" customFormat="false" ht="15.75" hidden="false" customHeight="false" outlineLevel="0" collapsed="false">
      <c r="A197" s="24" t="s">
        <v>196</v>
      </c>
      <c r="B197" s="23" t="n">
        <v>44062</v>
      </c>
      <c r="C197" s="11" t="s">
        <v>139</v>
      </c>
      <c r="D197" s="24" t="s">
        <v>140</v>
      </c>
      <c r="E197" s="24" t="n">
        <v>1</v>
      </c>
      <c r="F197" s="17" t="n">
        <v>0.25</v>
      </c>
    </row>
    <row r="198" customFormat="false" ht="15.75" hidden="false" customHeight="false" outlineLevel="0" collapsed="false">
      <c r="A198" s="24" t="s">
        <v>197</v>
      </c>
      <c r="B198" s="23" t="n">
        <v>44062</v>
      </c>
      <c r="C198" s="7" t="s">
        <v>28</v>
      </c>
      <c r="D198" s="24" t="s">
        <v>29</v>
      </c>
      <c r="E198" s="24" t="n">
        <v>10</v>
      </c>
      <c r="F198" s="17" t="n">
        <v>4</v>
      </c>
    </row>
    <row r="199" customFormat="false" ht="15.75" hidden="false" customHeight="false" outlineLevel="0" collapsed="false">
      <c r="A199" s="24" t="s">
        <v>197</v>
      </c>
      <c r="B199" s="23" t="n">
        <v>44062</v>
      </c>
      <c r="C199" s="7" t="s">
        <v>30</v>
      </c>
      <c r="D199" s="24" t="s">
        <v>31</v>
      </c>
      <c r="E199" s="24" t="n">
        <v>4</v>
      </c>
      <c r="F199" s="17" t="n">
        <v>2.4</v>
      </c>
    </row>
    <row r="200" customFormat="false" ht="15.75" hidden="false" customHeight="false" outlineLevel="0" collapsed="false">
      <c r="A200" s="24" t="s">
        <v>197</v>
      </c>
      <c r="B200" s="23" t="n">
        <v>44062</v>
      </c>
      <c r="C200" s="11" t="s">
        <v>47</v>
      </c>
      <c r="D200" s="24" t="s">
        <v>48</v>
      </c>
      <c r="E200" s="24" t="n">
        <v>10</v>
      </c>
      <c r="F200" s="17" t="n">
        <v>2.4</v>
      </c>
    </row>
    <row r="201" customFormat="false" ht="15.75" hidden="false" customHeight="false" outlineLevel="0" collapsed="false">
      <c r="A201" s="24" t="s">
        <v>197</v>
      </c>
      <c r="B201" s="23" t="n">
        <v>44062</v>
      </c>
      <c r="C201" s="7" t="s">
        <v>41</v>
      </c>
      <c r="D201" s="24" t="s">
        <v>42</v>
      </c>
      <c r="E201" s="24" t="n">
        <v>3</v>
      </c>
      <c r="F201" s="17" t="n">
        <v>0.75</v>
      </c>
    </row>
    <row r="202" customFormat="false" ht="15.75" hidden="false" customHeight="false" outlineLevel="0" collapsed="false">
      <c r="A202" s="24" t="s">
        <v>197</v>
      </c>
      <c r="B202" s="23" t="n">
        <v>44062</v>
      </c>
      <c r="C202" s="11" t="s">
        <v>125</v>
      </c>
      <c r="D202" s="24" t="s">
        <v>126</v>
      </c>
      <c r="E202" s="24" t="n">
        <v>5</v>
      </c>
      <c r="F202" s="17" t="n">
        <v>1.25</v>
      </c>
    </row>
    <row r="203" customFormat="false" ht="15.75" hidden="false" customHeight="false" outlineLevel="0" collapsed="false">
      <c r="A203" s="24" t="s">
        <v>197</v>
      </c>
      <c r="B203" s="23" t="n">
        <v>44062</v>
      </c>
      <c r="C203" s="11" t="s">
        <v>117</v>
      </c>
      <c r="D203" s="24" t="s">
        <v>118</v>
      </c>
      <c r="E203" s="24" t="n">
        <v>4</v>
      </c>
      <c r="F203" s="17" t="n">
        <v>0.8</v>
      </c>
    </row>
    <row r="204" customFormat="false" ht="15.75" hidden="false" customHeight="false" outlineLevel="0" collapsed="false">
      <c r="A204" s="24" t="s">
        <v>197</v>
      </c>
      <c r="B204" s="23" t="n">
        <v>44062</v>
      </c>
      <c r="C204" s="7" t="s">
        <v>69</v>
      </c>
      <c r="D204" s="24" t="s">
        <v>70</v>
      </c>
      <c r="E204" s="24" t="n">
        <v>6</v>
      </c>
      <c r="F204" s="17" t="n">
        <v>1.5</v>
      </c>
    </row>
    <row r="205" customFormat="false" ht="15.75" hidden="false" customHeight="false" outlineLevel="0" collapsed="false">
      <c r="A205" s="24" t="s">
        <v>197</v>
      </c>
      <c r="B205" s="23" t="n">
        <v>44062</v>
      </c>
      <c r="C205" s="11" t="s">
        <v>83</v>
      </c>
      <c r="D205" s="24" t="s">
        <v>84</v>
      </c>
      <c r="E205" s="24" t="n">
        <v>6</v>
      </c>
      <c r="F205" s="27" t="n">
        <v>3</v>
      </c>
    </row>
    <row r="206" customFormat="false" ht="15.75" hidden="false" customHeight="false" outlineLevel="0" collapsed="false">
      <c r="A206" s="24" t="s">
        <v>160</v>
      </c>
      <c r="B206" s="23" t="n">
        <v>44063</v>
      </c>
      <c r="C206" s="7" t="s">
        <v>79</v>
      </c>
      <c r="D206" s="24" t="s">
        <v>80</v>
      </c>
      <c r="E206" s="24" t="n">
        <v>47.43</v>
      </c>
      <c r="F206" s="17" t="n">
        <v>47.43</v>
      </c>
    </row>
    <row r="207" customFormat="false" ht="15.75" hidden="false" customHeight="false" outlineLevel="0" collapsed="false">
      <c r="A207" s="24" t="s">
        <v>198</v>
      </c>
      <c r="B207" s="23" t="n">
        <v>44063</v>
      </c>
      <c r="C207" s="7" t="s">
        <v>65</v>
      </c>
      <c r="D207" s="24" t="s">
        <v>66</v>
      </c>
      <c r="E207" s="24" t="n">
        <v>18.54</v>
      </c>
      <c r="F207" s="17" t="n">
        <v>18.54</v>
      </c>
    </row>
    <row r="208" customFormat="false" ht="15.75" hidden="false" customHeight="false" outlineLevel="0" collapsed="false">
      <c r="A208" s="24" t="s">
        <v>167</v>
      </c>
      <c r="B208" s="23" t="n">
        <v>44063</v>
      </c>
      <c r="C208" s="7" t="s">
        <v>22</v>
      </c>
      <c r="D208" s="24" t="s">
        <v>23</v>
      </c>
      <c r="E208" s="24" t="n">
        <v>8</v>
      </c>
      <c r="F208" s="0" t="n">
        <v>4.8</v>
      </c>
    </row>
    <row r="209" customFormat="false" ht="15.75" hidden="false" customHeight="false" outlineLevel="0" collapsed="false">
      <c r="A209" s="24" t="s">
        <v>167</v>
      </c>
      <c r="B209" s="23" t="n">
        <v>44063</v>
      </c>
      <c r="C209" s="7" t="s">
        <v>14</v>
      </c>
      <c r="D209" s="24" t="s">
        <v>15</v>
      </c>
      <c r="E209" s="24" t="n">
        <v>10</v>
      </c>
      <c r="F209" s="0" t="n">
        <v>1.5</v>
      </c>
    </row>
    <row r="210" customFormat="false" ht="15.75" hidden="false" customHeight="false" outlineLevel="0" collapsed="false">
      <c r="A210" s="24" t="s">
        <v>167</v>
      </c>
      <c r="B210" s="23" t="n">
        <v>44063</v>
      </c>
      <c r="C210" s="7" t="s">
        <v>93</v>
      </c>
      <c r="D210" s="24" t="s">
        <v>94</v>
      </c>
      <c r="E210" s="24" t="n">
        <v>5</v>
      </c>
      <c r="F210" s="0" t="n">
        <v>1.75</v>
      </c>
    </row>
    <row r="211" customFormat="false" ht="15.75" hidden="false" customHeight="false" outlineLevel="0" collapsed="false">
      <c r="A211" s="24" t="s">
        <v>167</v>
      </c>
      <c r="B211" s="23" t="n">
        <v>44063</v>
      </c>
      <c r="C211" s="7" t="s">
        <v>77</v>
      </c>
      <c r="D211" s="24" t="s">
        <v>78</v>
      </c>
      <c r="E211" s="24" t="n">
        <v>10</v>
      </c>
      <c r="F211" s="0" t="n">
        <v>3</v>
      </c>
    </row>
    <row r="212" customFormat="false" ht="15.75" hidden="false" customHeight="false" outlineLevel="0" collapsed="false">
      <c r="A212" s="24" t="s">
        <v>167</v>
      </c>
      <c r="B212" s="23" t="n">
        <v>44063</v>
      </c>
      <c r="C212" s="7" t="s">
        <v>69</v>
      </c>
      <c r="D212" s="24" t="s">
        <v>70</v>
      </c>
      <c r="E212" s="24" t="n">
        <v>10</v>
      </c>
      <c r="F212" s="0" t="n">
        <v>2.5</v>
      </c>
    </row>
    <row r="213" customFormat="false" ht="15.75" hidden="false" customHeight="false" outlineLevel="0" collapsed="false">
      <c r="A213" s="24" t="s">
        <v>203</v>
      </c>
      <c r="B213" s="23" t="n">
        <v>44063</v>
      </c>
      <c r="C213" s="7" t="s">
        <v>30</v>
      </c>
      <c r="D213" s="24" t="s">
        <v>31</v>
      </c>
      <c r="E213" s="24" t="n">
        <v>5</v>
      </c>
      <c r="F213" s="0" t="n">
        <v>3</v>
      </c>
    </row>
    <row r="214" customFormat="false" ht="15.75" hidden="false" customHeight="false" outlineLevel="0" collapsed="false">
      <c r="A214" s="24" t="s">
        <v>203</v>
      </c>
      <c r="B214" s="23" t="n">
        <v>44063</v>
      </c>
      <c r="C214" s="11" t="s">
        <v>117</v>
      </c>
      <c r="D214" s="24" t="s">
        <v>118</v>
      </c>
      <c r="E214" s="24" t="n">
        <v>1</v>
      </c>
      <c r="F214" s="0" t="n">
        <v>0.2</v>
      </c>
    </row>
    <row r="215" customFormat="false" ht="15.75" hidden="false" customHeight="false" outlineLevel="0" collapsed="false">
      <c r="A215" s="24" t="s">
        <v>203</v>
      </c>
      <c r="B215" s="23" t="n">
        <v>44063</v>
      </c>
      <c r="C215" s="11" t="s">
        <v>87</v>
      </c>
      <c r="D215" s="24" t="s">
        <v>88</v>
      </c>
      <c r="E215" s="24" t="n">
        <v>1</v>
      </c>
      <c r="F215" s="0" t="n">
        <v>0.25</v>
      </c>
    </row>
    <row r="216" customFormat="false" ht="15.75" hidden="false" customHeight="false" outlineLevel="0" collapsed="false">
      <c r="A216" s="24" t="s">
        <v>157</v>
      </c>
      <c r="B216" s="23" t="n">
        <v>44064</v>
      </c>
      <c r="C216" s="7" t="s">
        <v>22</v>
      </c>
      <c r="D216" s="24" t="s">
        <v>23</v>
      </c>
      <c r="E216" s="24" t="n">
        <v>2</v>
      </c>
      <c r="F216" s="0" t="n">
        <v>1.2</v>
      </c>
    </row>
    <row r="217" customFormat="false" ht="15.75" hidden="false" customHeight="false" outlineLevel="0" collapsed="false">
      <c r="A217" s="24" t="s">
        <v>157</v>
      </c>
      <c r="B217" s="23" t="n">
        <v>44064</v>
      </c>
      <c r="C217" s="11" t="s">
        <v>117</v>
      </c>
      <c r="D217" s="24" t="s">
        <v>118</v>
      </c>
      <c r="E217" s="24" t="n">
        <v>2</v>
      </c>
      <c r="F217" s="0" t="n">
        <v>0.4</v>
      </c>
    </row>
    <row r="218" customFormat="false" ht="15.75" hidden="false" customHeight="false" outlineLevel="0" collapsed="false">
      <c r="A218" s="24" t="s">
        <v>157</v>
      </c>
      <c r="B218" s="23" t="n">
        <v>44064</v>
      </c>
      <c r="C218" s="7" t="s">
        <v>14</v>
      </c>
      <c r="D218" s="24" t="s">
        <v>15</v>
      </c>
      <c r="E218" s="24" t="n">
        <v>3</v>
      </c>
      <c r="F218" s="0" t="n">
        <v>0.45</v>
      </c>
    </row>
    <row r="219" customFormat="false" ht="15.75" hidden="false" customHeight="false" outlineLevel="0" collapsed="false">
      <c r="A219" s="24" t="s">
        <v>158</v>
      </c>
      <c r="B219" s="23" t="n">
        <v>44064</v>
      </c>
      <c r="C219" s="7" t="s">
        <v>79</v>
      </c>
      <c r="D219" s="24" t="s">
        <v>80</v>
      </c>
      <c r="E219" s="24" t="n">
        <v>18.96</v>
      </c>
      <c r="F219" s="0" t="n">
        <v>18.96</v>
      </c>
    </row>
    <row r="220" customFormat="false" ht="15.75" hidden="false" customHeight="false" outlineLevel="0" collapsed="false">
      <c r="A220" s="24" t="s">
        <v>167</v>
      </c>
      <c r="B220" s="23" t="n">
        <v>44064</v>
      </c>
      <c r="C220" s="7" t="s">
        <v>28</v>
      </c>
      <c r="D220" s="24" t="s">
        <v>29</v>
      </c>
      <c r="E220" s="24" t="n">
        <v>10</v>
      </c>
      <c r="F220" s="0" t="n">
        <v>4</v>
      </c>
    </row>
    <row r="221" customFormat="false" ht="15.75" hidden="false" customHeight="false" outlineLevel="0" collapsed="false">
      <c r="A221" s="24" t="s">
        <v>167</v>
      </c>
      <c r="B221" s="23" t="n">
        <v>44064</v>
      </c>
      <c r="C221" s="7" t="s">
        <v>30</v>
      </c>
      <c r="D221" s="24" t="s">
        <v>31</v>
      </c>
      <c r="E221" s="24" t="n">
        <v>10</v>
      </c>
      <c r="F221" s="0" t="n">
        <v>6</v>
      </c>
    </row>
    <row r="222" customFormat="false" ht="15.75" hidden="false" customHeight="false" outlineLevel="0" collapsed="false">
      <c r="A222" s="24" t="s">
        <v>167</v>
      </c>
      <c r="B222" s="23" t="n">
        <v>44064</v>
      </c>
      <c r="C222" s="11" t="s">
        <v>137</v>
      </c>
      <c r="D222" s="24" t="s">
        <v>138</v>
      </c>
      <c r="E222" s="24" t="n">
        <v>3</v>
      </c>
      <c r="F222" s="0" t="n">
        <v>0.9</v>
      </c>
    </row>
    <row r="223" customFormat="false" ht="15.75" hidden="false" customHeight="false" outlineLevel="0" collapsed="false">
      <c r="A223" s="24" t="s">
        <v>167</v>
      </c>
      <c r="B223" s="23" t="n">
        <v>44064</v>
      </c>
      <c r="C223" s="11" t="s">
        <v>139</v>
      </c>
      <c r="D223" s="24" t="s">
        <v>140</v>
      </c>
      <c r="E223" s="24" t="n">
        <v>5</v>
      </c>
      <c r="F223" s="0" t="n">
        <v>1.25</v>
      </c>
    </row>
    <row r="224" customFormat="false" ht="15.75" hidden="false" customHeight="false" outlineLevel="0" collapsed="false">
      <c r="A224" s="24" t="s">
        <v>167</v>
      </c>
      <c r="B224" s="23" t="n">
        <v>44064</v>
      </c>
      <c r="C224" s="11" t="s">
        <v>32</v>
      </c>
      <c r="D224" s="24" t="s">
        <v>33</v>
      </c>
      <c r="E224" s="24" t="n">
        <v>5</v>
      </c>
      <c r="F224" s="0" t="n">
        <v>2</v>
      </c>
    </row>
    <row r="225" customFormat="false" ht="15.75" hidden="false" customHeight="false" outlineLevel="0" collapsed="false">
      <c r="A225" s="24" t="s">
        <v>167</v>
      </c>
      <c r="B225" s="23" t="n">
        <v>44064</v>
      </c>
      <c r="C225" s="11" t="s">
        <v>34</v>
      </c>
      <c r="D225" s="24" t="s">
        <v>35</v>
      </c>
      <c r="E225" s="24" t="n">
        <v>10</v>
      </c>
      <c r="F225" s="0" t="n">
        <v>6</v>
      </c>
    </row>
    <row r="226" customFormat="false" ht="15.75" hidden="false" customHeight="false" outlineLevel="0" collapsed="false">
      <c r="A226" s="24" t="s">
        <v>167</v>
      </c>
      <c r="B226" s="23" t="n">
        <v>44064</v>
      </c>
      <c r="C226" s="11" t="s">
        <v>47</v>
      </c>
      <c r="D226" s="24" t="s">
        <v>48</v>
      </c>
      <c r="E226" s="24" t="n">
        <v>10</v>
      </c>
      <c r="F226" s="0" t="n">
        <v>2.4</v>
      </c>
    </row>
    <row r="227" customFormat="false" ht="15.75" hidden="false" customHeight="false" outlineLevel="0" collapsed="false">
      <c r="A227" s="24" t="s">
        <v>167</v>
      </c>
      <c r="B227" s="23" t="n">
        <v>44064</v>
      </c>
      <c r="C227" s="7" t="s">
        <v>93</v>
      </c>
      <c r="D227" s="24" t="s">
        <v>94</v>
      </c>
      <c r="E227" s="24" t="n">
        <v>2</v>
      </c>
      <c r="F227" s="0" t="n">
        <v>0.7</v>
      </c>
    </row>
    <row r="228" customFormat="false" ht="15.75" hidden="false" customHeight="false" outlineLevel="0" collapsed="false">
      <c r="A228" s="24" t="s">
        <v>167</v>
      </c>
      <c r="B228" s="23" t="n">
        <v>44064</v>
      </c>
      <c r="C228" s="11" t="s">
        <v>125</v>
      </c>
      <c r="D228" s="24" t="s">
        <v>126</v>
      </c>
      <c r="E228" s="24" t="n">
        <v>10</v>
      </c>
      <c r="F228" s="0" t="n">
        <v>2.5</v>
      </c>
    </row>
    <row r="229" customFormat="false" ht="15.75" hidden="false" customHeight="false" outlineLevel="0" collapsed="false">
      <c r="A229" s="24" t="s">
        <v>167</v>
      </c>
      <c r="B229" s="23" t="n">
        <v>44064</v>
      </c>
      <c r="C229" s="11" t="s">
        <v>111</v>
      </c>
      <c r="D229" s="24" t="s">
        <v>112</v>
      </c>
      <c r="E229" s="24" t="n">
        <v>5</v>
      </c>
      <c r="F229" s="0" t="n">
        <v>1.25</v>
      </c>
    </row>
    <row r="230" customFormat="false" ht="15.75" hidden="false" customHeight="false" outlineLevel="0" collapsed="false">
      <c r="A230" s="24" t="s">
        <v>167</v>
      </c>
      <c r="B230" s="23" t="n">
        <v>44064</v>
      </c>
      <c r="C230" s="11" t="s">
        <v>117</v>
      </c>
      <c r="D230" s="24" t="s">
        <v>118</v>
      </c>
      <c r="E230" s="24" t="n">
        <v>10</v>
      </c>
      <c r="F230" s="0" t="n">
        <v>2</v>
      </c>
    </row>
    <row r="231" customFormat="false" ht="15.75" hidden="false" customHeight="false" outlineLevel="0" collapsed="false">
      <c r="A231" s="24" t="s">
        <v>156</v>
      </c>
      <c r="B231" s="23" t="n">
        <v>44064</v>
      </c>
      <c r="C231" s="7" t="s">
        <v>93</v>
      </c>
      <c r="D231" s="24" t="s">
        <v>94</v>
      </c>
      <c r="E231" s="24" t="n">
        <v>5</v>
      </c>
      <c r="F231" s="0" t="n">
        <v>1.75</v>
      </c>
    </row>
    <row r="232" customFormat="false" ht="15.75" hidden="false" customHeight="false" outlineLevel="0" collapsed="false">
      <c r="A232" s="24" t="s">
        <v>156</v>
      </c>
      <c r="B232" s="23" t="n">
        <v>44064</v>
      </c>
      <c r="C232" s="7" t="s">
        <v>75</v>
      </c>
      <c r="D232" s="24" t="s">
        <v>76</v>
      </c>
      <c r="E232" s="24" t="n">
        <v>5</v>
      </c>
      <c r="F232" s="0" t="n">
        <v>1.25</v>
      </c>
    </row>
    <row r="233" customFormat="false" ht="15.75" hidden="false" customHeight="false" outlineLevel="0" collapsed="false">
      <c r="A233" s="24" t="s">
        <v>156</v>
      </c>
      <c r="B233" s="23" t="n">
        <v>44064</v>
      </c>
      <c r="C233" s="11" t="s">
        <v>117</v>
      </c>
      <c r="D233" s="24" t="s">
        <v>118</v>
      </c>
      <c r="E233" s="24" t="n">
        <v>30</v>
      </c>
      <c r="F233" s="0" t="n">
        <v>6</v>
      </c>
    </row>
    <row r="234" customFormat="false" ht="15.75" hidden="false" customHeight="false" outlineLevel="0" collapsed="false">
      <c r="A234" s="24" t="s">
        <v>156</v>
      </c>
      <c r="B234" s="23" t="n">
        <v>44064</v>
      </c>
      <c r="C234" s="7" t="s">
        <v>121</v>
      </c>
      <c r="D234" s="24" t="s">
        <v>122</v>
      </c>
      <c r="E234" s="24" t="n">
        <v>5</v>
      </c>
      <c r="F234" s="0" t="n">
        <v>2.5</v>
      </c>
    </row>
    <row r="235" customFormat="false" ht="15.75" hidden="false" customHeight="false" outlineLevel="0" collapsed="false">
      <c r="A235" s="24" t="s">
        <v>156</v>
      </c>
      <c r="B235" s="23" t="n">
        <v>44064</v>
      </c>
      <c r="C235" s="11" t="s">
        <v>97</v>
      </c>
      <c r="D235" s="24" t="s">
        <v>98</v>
      </c>
      <c r="E235" s="24" t="n">
        <v>20</v>
      </c>
      <c r="F235" s="0" t="n">
        <v>5</v>
      </c>
    </row>
    <row r="236" customFormat="false" ht="15.75" hidden="false" customHeight="false" outlineLevel="0" collapsed="false">
      <c r="A236" s="24" t="s">
        <v>156</v>
      </c>
      <c r="B236" s="23" t="n">
        <v>44064</v>
      </c>
      <c r="C236" s="7" t="s">
        <v>14</v>
      </c>
      <c r="D236" s="24" t="s">
        <v>15</v>
      </c>
      <c r="E236" s="24" t="n">
        <v>8</v>
      </c>
      <c r="F236" s="0" t="n">
        <v>1.2</v>
      </c>
    </row>
    <row r="237" customFormat="false" ht="15.75" hidden="false" customHeight="false" outlineLevel="0" collapsed="false">
      <c r="A237" s="24" t="s">
        <v>156</v>
      </c>
      <c r="B237" s="23" t="n">
        <v>44064</v>
      </c>
      <c r="C237" s="11" t="s">
        <v>83</v>
      </c>
      <c r="D237" s="24" t="s">
        <v>84</v>
      </c>
      <c r="E237" s="24" t="n">
        <v>8</v>
      </c>
      <c r="F237" s="0" t="n">
        <v>4</v>
      </c>
    </row>
    <row r="238" customFormat="false" ht="15.75" hidden="false" customHeight="false" outlineLevel="0" collapsed="false">
      <c r="A238" s="24" t="s">
        <v>156</v>
      </c>
      <c r="B238" s="23" t="n">
        <v>44064</v>
      </c>
      <c r="C238" s="7" t="s">
        <v>69</v>
      </c>
      <c r="D238" s="24" t="s">
        <v>70</v>
      </c>
      <c r="E238" s="24" t="n">
        <v>15</v>
      </c>
      <c r="F238" s="0" t="n">
        <v>3.75</v>
      </c>
    </row>
    <row r="239" customFormat="false" ht="15.75" hidden="false" customHeight="false" outlineLevel="0" collapsed="false">
      <c r="A239" s="24" t="s">
        <v>156</v>
      </c>
      <c r="B239" s="23" t="n">
        <v>44064</v>
      </c>
      <c r="C239" s="11" t="s">
        <v>125</v>
      </c>
      <c r="D239" s="24" t="s">
        <v>126</v>
      </c>
      <c r="E239" s="24" t="n">
        <v>10</v>
      </c>
      <c r="F239" s="0" t="n">
        <v>2.5</v>
      </c>
    </row>
    <row r="240" customFormat="false" ht="15.75" hidden="false" customHeight="false" outlineLevel="0" collapsed="false">
      <c r="A240" s="24" t="s">
        <v>156</v>
      </c>
      <c r="B240" s="23" t="n">
        <v>44064</v>
      </c>
      <c r="C240" s="7" t="s">
        <v>20</v>
      </c>
      <c r="D240" s="24" t="s">
        <v>21</v>
      </c>
      <c r="E240" s="24" t="n">
        <v>8</v>
      </c>
      <c r="F240" s="0" t="n">
        <v>3.2</v>
      </c>
    </row>
    <row r="241" customFormat="false" ht="15.75" hidden="false" customHeight="false" outlineLevel="0" collapsed="false">
      <c r="A241" s="24" t="s">
        <v>156</v>
      </c>
      <c r="B241" s="23" t="n">
        <v>44064</v>
      </c>
      <c r="C241" s="7" t="s">
        <v>22</v>
      </c>
      <c r="D241" s="24" t="s">
        <v>23</v>
      </c>
      <c r="E241" s="24" t="n">
        <v>8</v>
      </c>
      <c r="F241" s="0" t="n">
        <v>4.8</v>
      </c>
    </row>
    <row r="242" customFormat="false" ht="15.75" hidden="false" customHeight="false" outlineLevel="0" collapsed="false">
      <c r="A242" s="24" t="s">
        <v>156</v>
      </c>
      <c r="B242" s="23" t="n">
        <v>44064</v>
      </c>
      <c r="C242" s="7" t="s">
        <v>26</v>
      </c>
      <c r="D242" s="24" t="s">
        <v>27</v>
      </c>
      <c r="E242" s="24" t="n">
        <v>6</v>
      </c>
      <c r="F242" s="0" t="n">
        <v>1.5</v>
      </c>
    </row>
    <row r="243" customFormat="false" ht="15.75" hidden="false" customHeight="false" outlineLevel="0" collapsed="false">
      <c r="A243" s="24" t="s">
        <v>156</v>
      </c>
      <c r="B243" s="23" t="n">
        <v>44064</v>
      </c>
      <c r="C243" s="7" t="s">
        <v>28</v>
      </c>
      <c r="D243" s="24" t="s">
        <v>29</v>
      </c>
      <c r="E243" s="24" t="n">
        <v>6</v>
      </c>
      <c r="F243" s="0" t="n">
        <v>2.4</v>
      </c>
    </row>
    <row r="244" customFormat="false" ht="15.75" hidden="false" customHeight="false" outlineLevel="0" collapsed="false">
      <c r="A244" s="24" t="s">
        <v>156</v>
      </c>
      <c r="B244" s="23" t="n">
        <v>44064</v>
      </c>
      <c r="C244" s="7" t="s">
        <v>30</v>
      </c>
      <c r="D244" s="24" t="s">
        <v>31</v>
      </c>
      <c r="E244" s="24" t="n">
        <v>6</v>
      </c>
      <c r="F244" s="0" t="n">
        <v>3.6</v>
      </c>
    </row>
    <row r="245" customFormat="false" ht="15" hidden="false" customHeight="false" outlineLevel="0" collapsed="false">
      <c r="A245" s="24" t="s">
        <v>208</v>
      </c>
      <c r="B245" s="23" t="n">
        <v>44046</v>
      </c>
      <c r="C245" s="2" t="s">
        <v>45</v>
      </c>
      <c r="D245" s="24" t="s">
        <v>46</v>
      </c>
      <c r="E245" s="24" t="n">
        <v>20</v>
      </c>
      <c r="F245" s="0" t="n">
        <v>100</v>
      </c>
    </row>
    <row r="246" customFormat="false" ht="15.75" hidden="false" customHeight="false" outlineLevel="0" collapsed="false">
      <c r="A246" s="24" t="s">
        <v>208</v>
      </c>
      <c r="B246" s="23" t="n">
        <v>44053</v>
      </c>
      <c r="C246" s="7" t="s">
        <v>45</v>
      </c>
      <c r="D246" s="24" t="s">
        <v>46</v>
      </c>
      <c r="E246" s="24" t="n">
        <v>20</v>
      </c>
      <c r="F246" s="0" t="n">
        <v>100</v>
      </c>
    </row>
    <row r="247" customFormat="false" ht="15.75" hidden="false" customHeight="false" outlineLevel="0" collapsed="false">
      <c r="A247" s="24" t="s">
        <v>208</v>
      </c>
      <c r="B247" s="23" t="n">
        <v>44056</v>
      </c>
      <c r="C247" s="7" t="s">
        <v>45</v>
      </c>
      <c r="D247" s="24" t="s">
        <v>46</v>
      </c>
      <c r="E247" s="24" t="n">
        <v>15</v>
      </c>
      <c r="F247" s="0" t="n">
        <v>75</v>
      </c>
    </row>
    <row r="248" customFormat="false" ht="15.75" hidden="false" customHeight="false" outlineLevel="0" collapsed="false">
      <c r="A248" s="24" t="s">
        <v>208</v>
      </c>
      <c r="B248" s="23" t="n">
        <v>44060</v>
      </c>
      <c r="C248" s="7" t="s">
        <v>45</v>
      </c>
      <c r="D248" s="24" t="s">
        <v>46</v>
      </c>
      <c r="E248" s="24" t="n">
        <v>20</v>
      </c>
      <c r="F248" s="0" t="n">
        <v>100</v>
      </c>
    </row>
    <row r="249" customFormat="false" ht="15.75" hidden="false" customHeight="false" outlineLevel="0" collapsed="false">
      <c r="A249" s="24" t="s">
        <v>208</v>
      </c>
      <c r="B249" s="23" t="n">
        <v>44067</v>
      </c>
      <c r="C249" s="7" t="s">
        <v>45</v>
      </c>
      <c r="D249" s="24" t="s">
        <v>46</v>
      </c>
      <c r="E249" s="24" t="n">
        <v>20</v>
      </c>
      <c r="F249" s="0" t="n">
        <v>100</v>
      </c>
    </row>
    <row r="250" customFormat="false" ht="15" hidden="false" customHeight="false" outlineLevel="0" collapsed="false">
      <c r="A250" s="24" t="s">
        <v>209</v>
      </c>
      <c r="B250" s="23" t="n">
        <v>44067</v>
      </c>
      <c r="C250" s="2" t="s">
        <v>47</v>
      </c>
      <c r="D250" s="24" t="s">
        <v>48</v>
      </c>
      <c r="E250" s="24" t="n">
        <v>4</v>
      </c>
      <c r="F250" s="0" t="n">
        <v>0.96</v>
      </c>
    </row>
    <row r="251" customFormat="false" ht="15.75" hidden="false" customHeight="false" outlineLevel="0" collapsed="false">
      <c r="A251" s="24" t="s">
        <v>209</v>
      </c>
      <c r="B251" s="23" t="n">
        <v>44067</v>
      </c>
      <c r="C251" s="7" t="s">
        <v>115</v>
      </c>
      <c r="D251" s="24" t="s">
        <v>116</v>
      </c>
      <c r="E251" s="24" t="n">
        <v>10</v>
      </c>
      <c r="F251" s="0" t="n">
        <v>1</v>
      </c>
    </row>
    <row r="252" customFormat="false" ht="15" hidden="false" customHeight="false" outlineLevel="0" collapsed="false">
      <c r="A252" s="24" t="s">
        <v>209</v>
      </c>
      <c r="B252" s="23" t="n">
        <v>44067</v>
      </c>
      <c r="C252" s="2" t="s">
        <v>103</v>
      </c>
      <c r="D252" s="24" t="s">
        <v>104</v>
      </c>
      <c r="E252" s="24" t="n">
        <v>2.77</v>
      </c>
      <c r="F252" s="0" t="n">
        <v>2.77</v>
      </c>
    </row>
    <row r="253" customFormat="false" ht="15.75" hidden="false" customHeight="false" outlineLevel="0" collapsed="false">
      <c r="A253" s="24" t="s">
        <v>209</v>
      </c>
      <c r="B253" s="23" t="n">
        <v>44067</v>
      </c>
      <c r="C253" s="7" t="s">
        <v>20</v>
      </c>
      <c r="D253" s="24" t="s">
        <v>21</v>
      </c>
      <c r="E253" s="24" t="n">
        <v>4</v>
      </c>
      <c r="F253" s="0" t="n">
        <v>1.6</v>
      </c>
    </row>
    <row r="254" customFormat="false" ht="15.75" hidden="false" customHeight="false" outlineLevel="0" collapsed="false">
      <c r="A254" s="24" t="s">
        <v>210</v>
      </c>
      <c r="B254" s="23" t="n">
        <v>44067</v>
      </c>
      <c r="C254" s="7" t="s">
        <v>20</v>
      </c>
      <c r="D254" s="24" t="s">
        <v>21</v>
      </c>
      <c r="E254" s="24" t="n">
        <v>2</v>
      </c>
      <c r="F254" s="0" t="n">
        <v>0.8</v>
      </c>
    </row>
    <row r="255" customFormat="false" ht="15.75" hidden="false" customHeight="false" outlineLevel="0" collapsed="false">
      <c r="A255" s="24" t="s">
        <v>210</v>
      </c>
      <c r="B255" s="23" t="n">
        <v>44067</v>
      </c>
      <c r="C255" s="7" t="s">
        <v>32</v>
      </c>
      <c r="D255" s="24" t="s">
        <v>33</v>
      </c>
      <c r="E255" s="24" t="n">
        <v>2</v>
      </c>
      <c r="F255" s="0" t="n">
        <v>0.8</v>
      </c>
    </row>
    <row r="256" customFormat="false" ht="15.75" hidden="false" customHeight="false" outlineLevel="0" collapsed="false">
      <c r="A256" s="24" t="s">
        <v>210</v>
      </c>
      <c r="B256" s="23" t="n">
        <v>44067</v>
      </c>
      <c r="C256" s="7" t="s">
        <v>47</v>
      </c>
      <c r="D256" s="24" t="s">
        <v>48</v>
      </c>
      <c r="E256" s="24" t="n">
        <v>2</v>
      </c>
      <c r="F256" s="0" t="n">
        <v>0.48</v>
      </c>
    </row>
    <row r="257" customFormat="false" ht="15.75" hidden="false" customHeight="false" outlineLevel="0" collapsed="false">
      <c r="A257" s="24" t="s">
        <v>210</v>
      </c>
      <c r="B257" s="23" t="n">
        <v>44067</v>
      </c>
      <c r="C257" s="7" t="s">
        <v>117</v>
      </c>
      <c r="D257" s="24" t="s">
        <v>118</v>
      </c>
      <c r="E257" s="24" t="n">
        <v>2</v>
      </c>
      <c r="F257" s="0" t="n">
        <v>0.4</v>
      </c>
    </row>
    <row r="258" customFormat="false" ht="15.75" hidden="false" customHeight="false" outlineLevel="0" collapsed="false">
      <c r="A258" s="24" t="s">
        <v>210</v>
      </c>
      <c r="B258" s="23" t="n">
        <v>44067</v>
      </c>
      <c r="C258" s="7" t="s">
        <v>77</v>
      </c>
      <c r="D258" s="24" t="s">
        <v>78</v>
      </c>
      <c r="E258" s="24" t="n">
        <v>2</v>
      </c>
      <c r="F258" s="0" t="n">
        <v>0.6</v>
      </c>
    </row>
    <row r="259" customFormat="false" ht="15.75" hidden="false" customHeight="false" outlineLevel="0" collapsed="false">
      <c r="A259" s="24" t="s">
        <v>210</v>
      </c>
      <c r="B259" s="23" t="n">
        <v>44067</v>
      </c>
      <c r="C259" s="7" t="s">
        <v>141</v>
      </c>
      <c r="D259" s="24" t="s">
        <v>142</v>
      </c>
      <c r="E259" s="24" t="n">
        <v>2</v>
      </c>
      <c r="F259" s="0" t="n">
        <v>0.6</v>
      </c>
    </row>
    <row r="260" customFormat="false" ht="15.75" hidden="false" customHeight="false" outlineLevel="0" collapsed="false">
      <c r="A260" s="24" t="s">
        <v>182</v>
      </c>
      <c r="B260" s="23" t="n">
        <v>44068</v>
      </c>
      <c r="C260" s="7" t="s">
        <v>125</v>
      </c>
      <c r="D260" s="24" t="s">
        <v>126</v>
      </c>
      <c r="E260" s="24" t="n">
        <v>5</v>
      </c>
      <c r="F260" s="0" t="n">
        <v>1.25</v>
      </c>
    </row>
    <row r="261" customFormat="false" ht="15.75" hidden="false" customHeight="false" outlineLevel="0" collapsed="false">
      <c r="A261" s="24" t="s">
        <v>182</v>
      </c>
      <c r="B261" s="23" t="n">
        <v>44068</v>
      </c>
      <c r="C261" s="7" t="s">
        <v>41</v>
      </c>
      <c r="D261" s="24" t="s">
        <v>42</v>
      </c>
      <c r="E261" s="24" t="n">
        <v>1</v>
      </c>
      <c r="F261" s="0" t="n">
        <v>0.25</v>
      </c>
    </row>
    <row r="262" customFormat="false" ht="15.75" hidden="false" customHeight="false" outlineLevel="0" collapsed="false">
      <c r="A262" s="24" t="s">
        <v>182</v>
      </c>
      <c r="B262" s="23" t="n">
        <v>44068</v>
      </c>
      <c r="C262" s="7" t="s">
        <v>43</v>
      </c>
      <c r="D262" s="24" t="s">
        <v>44</v>
      </c>
      <c r="E262" s="24" t="n">
        <v>1</v>
      </c>
      <c r="F262" s="0" t="n">
        <v>2</v>
      </c>
    </row>
    <row r="263" customFormat="false" ht="15.75" hidden="false" customHeight="false" outlineLevel="0" collapsed="false">
      <c r="A263" s="24" t="s">
        <v>169</v>
      </c>
      <c r="B263" s="23" t="n">
        <v>44069</v>
      </c>
      <c r="C263" s="7" t="s">
        <v>73</v>
      </c>
      <c r="D263" s="24" t="s">
        <v>74</v>
      </c>
      <c r="E263" s="24" t="n">
        <v>4.43</v>
      </c>
      <c r="F263" s="0" t="n">
        <v>4.43</v>
      </c>
    </row>
    <row r="264" customFormat="false" ht="15.75" hidden="false" customHeight="false" outlineLevel="0" collapsed="false">
      <c r="A264" s="24" t="s">
        <v>169</v>
      </c>
      <c r="B264" s="23" t="n">
        <v>44069</v>
      </c>
      <c r="C264" s="7" t="s">
        <v>20</v>
      </c>
      <c r="D264" s="24" t="s">
        <v>21</v>
      </c>
      <c r="E264" s="24" t="n">
        <v>5</v>
      </c>
      <c r="F264" s="0" t="n">
        <v>2</v>
      </c>
    </row>
    <row r="265" customFormat="false" ht="15.75" hidden="false" customHeight="false" outlineLevel="0" collapsed="false">
      <c r="A265" s="24" t="s">
        <v>169</v>
      </c>
      <c r="B265" s="23" t="n">
        <v>44069</v>
      </c>
      <c r="C265" s="7" t="s">
        <v>28</v>
      </c>
      <c r="D265" s="24" t="s">
        <v>29</v>
      </c>
      <c r="E265" s="24" t="n">
        <v>5</v>
      </c>
      <c r="F265" s="0" t="n">
        <v>2</v>
      </c>
    </row>
    <row r="266" customFormat="false" ht="15.75" hidden="false" customHeight="false" outlineLevel="0" collapsed="false">
      <c r="A266" s="24" t="s">
        <v>169</v>
      </c>
      <c r="B266" s="23" t="n">
        <v>44069</v>
      </c>
      <c r="C266" s="7" t="s">
        <v>41</v>
      </c>
      <c r="D266" s="24" t="s">
        <v>42</v>
      </c>
      <c r="E266" s="24" t="n">
        <v>5</v>
      </c>
      <c r="F266" s="0" t="n">
        <v>1.25</v>
      </c>
    </row>
    <row r="267" customFormat="false" ht="15.75" hidden="false" customHeight="false" outlineLevel="0" collapsed="false">
      <c r="A267" s="24" t="s">
        <v>169</v>
      </c>
      <c r="B267" s="23" t="n">
        <v>44069</v>
      </c>
      <c r="C267" s="7" t="s">
        <v>47</v>
      </c>
      <c r="D267" s="24" t="s">
        <v>48</v>
      </c>
      <c r="E267" s="24" t="n">
        <v>5</v>
      </c>
      <c r="F267" s="0" t="n">
        <v>1.2</v>
      </c>
    </row>
    <row r="268" customFormat="false" ht="15.75" hidden="false" customHeight="false" outlineLevel="0" collapsed="false">
      <c r="A268" s="24" t="s">
        <v>169</v>
      </c>
      <c r="B268" s="23" t="n">
        <v>44069</v>
      </c>
      <c r="C268" s="7" t="s">
        <v>49</v>
      </c>
      <c r="D268" s="24" t="s">
        <v>50</v>
      </c>
      <c r="E268" s="24" t="n">
        <v>5</v>
      </c>
      <c r="F268" s="0" t="n">
        <v>2.25</v>
      </c>
    </row>
    <row r="269" customFormat="false" ht="15.75" hidden="false" customHeight="false" outlineLevel="0" collapsed="false">
      <c r="A269" s="24" t="s">
        <v>203</v>
      </c>
      <c r="B269" s="23" t="n">
        <v>44069</v>
      </c>
      <c r="C269" s="7" t="s">
        <v>30</v>
      </c>
      <c r="D269" s="24" t="s">
        <v>31</v>
      </c>
      <c r="E269" s="24" t="n">
        <v>10</v>
      </c>
      <c r="F269" s="0" t="n">
        <v>6</v>
      </c>
    </row>
    <row r="270" customFormat="false" ht="15.75" hidden="false" customHeight="false" outlineLevel="0" collapsed="false">
      <c r="A270" s="24" t="s">
        <v>156</v>
      </c>
      <c r="B270" s="23" t="n">
        <v>44069</v>
      </c>
      <c r="C270" s="7" t="s">
        <v>26</v>
      </c>
      <c r="D270" s="24" t="s">
        <v>27</v>
      </c>
      <c r="E270" s="24" t="n">
        <v>6</v>
      </c>
      <c r="F270" s="0" t="n">
        <v>1.5</v>
      </c>
    </row>
    <row r="271" customFormat="false" ht="15.75" hidden="false" customHeight="false" outlineLevel="0" collapsed="false">
      <c r="A271" s="24" t="s">
        <v>156</v>
      </c>
      <c r="B271" s="23" t="n">
        <v>44069</v>
      </c>
      <c r="C271" s="7" t="s">
        <v>20</v>
      </c>
      <c r="D271" s="24" t="s">
        <v>21</v>
      </c>
      <c r="E271" s="24" t="n">
        <v>5</v>
      </c>
      <c r="F271" s="0" t="n">
        <v>2</v>
      </c>
    </row>
    <row r="272" customFormat="false" ht="15.75" hidden="false" customHeight="false" outlineLevel="0" collapsed="false">
      <c r="A272" s="24" t="s">
        <v>156</v>
      </c>
      <c r="B272" s="23" t="n">
        <v>44069</v>
      </c>
      <c r="C272" s="7" t="s">
        <v>41</v>
      </c>
      <c r="D272" s="24" t="s">
        <v>42</v>
      </c>
      <c r="E272" s="24" t="n">
        <v>16</v>
      </c>
      <c r="F272" s="0" t="n">
        <v>4</v>
      </c>
    </row>
    <row r="273" customFormat="false" ht="15.75" hidden="false" customHeight="false" outlineLevel="0" collapsed="false">
      <c r="A273" s="24" t="s">
        <v>156</v>
      </c>
      <c r="B273" s="23" t="n">
        <v>44069</v>
      </c>
      <c r="C273" s="7" t="s">
        <v>47</v>
      </c>
      <c r="D273" s="24" t="s">
        <v>48</v>
      </c>
      <c r="E273" s="24" t="n">
        <v>10</v>
      </c>
      <c r="F273" s="0" t="n">
        <v>2.4</v>
      </c>
    </row>
    <row r="274" customFormat="false" ht="15.75" hidden="false" customHeight="false" outlineLevel="0" collapsed="false">
      <c r="A274" s="24" t="s">
        <v>156</v>
      </c>
      <c r="B274" s="23" t="n">
        <v>44069</v>
      </c>
      <c r="C274" s="7" t="s">
        <v>125</v>
      </c>
      <c r="D274" s="24" t="s">
        <v>126</v>
      </c>
      <c r="E274" s="24" t="n">
        <v>10</v>
      </c>
      <c r="F274" s="0" t="n">
        <v>2.5</v>
      </c>
    </row>
    <row r="275" customFormat="false" ht="15.75" hidden="false" customHeight="false" outlineLevel="0" collapsed="false">
      <c r="A275" s="24" t="s">
        <v>156</v>
      </c>
      <c r="B275" s="23" t="n">
        <v>44069</v>
      </c>
      <c r="C275" s="7" t="s">
        <v>97</v>
      </c>
      <c r="D275" s="24" t="s">
        <v>98</v>
      </c>
      <c r="E275" s="24" t="n">
        <v>20</v>
      </c>
      <c r="F275" s="0" t="n">
        <v>4.8</v>
      </c>
    </row>
    <row r="276" customFormat="false" ht="15.75" hidden="false" customHeight="false" outlineLevel="0" collapsed="false">
      <c r="A276" s="24" t="s">
        <v>156</v>
      </c>
      <c r="B276" s="23" t="n">
        <v>44069</v>
      </c>
      <c r="C276" s="7" t="s">
        <v>117</v>
      </c>
      <c r="D276" s="24" t="s">
        <v>118</v>
      </c>
      <c r="E276" s="24" t="n">
        <v>30</v>
      </c>
      <c r="F276" s="0" t="n">
        <v>6</v>
      </c>
    </row>
    <row r="277" customFormat="false" ht="15.75" hidden="false" customHeight="false" outlineLevel="0" collapsed="false">
      <c r="A277" s="24" t="s">
        <v>156</v>
      </c>
      <c r="B277" s="23" t="n">
        <v>44069</v>
      </c>
      <c r="C277" s="7" t="s">
        <v>121</v>
      </c>
      <c r="D277" s="24" t="s">
        <v>122</v>
      </c>
      <c r="E277" s="24" t="n">
        <v>4</v>
      </c>
      <c r="F277" s="0" t="n">
        <v>2</v>
      </c>
    </row>
    <row r="278" customFormat="false" ht="15.75" hidden="false" customHeight="false" outlineLevel="0" collapsed="false">
      <c r="A278" s="24" t="s">
        <v>156</v>
      </c>
      <c r="B278" s="23" t="n">
        <v>44069</v>
      </c>
      <c r="C278" s="7" t="s">
        <v>75</v>
      </c>
      <c r="D278" s="24" t="s">
        <v>76</v>
      </c>
      <c r="E278" s="24" t="n">
        <v>6</v>
      </c>
      <c r="F278" s="0" t="n">
        <v>1.5</v>
      </c>
    </row>
    <row r="279" customFormat="false" ht="15.75" hidden="false" customHeight="false" outlineLevel="0" collapsed="false">
      <c r="A279" s="24" t="s">
        <v>156</v>
      </c>
      <c r="B279" s="23" t="n">
        <v>44069</v>
      </c>
      <c r="C279" s="7" t="s">
        <v>93</v>
      </c>
      <c r="D279" s="24" t="s">
        <v>94</v>
      </c>
      <c r="E279" s="24" t="n">
        <v>2</v>
      </c>
      <c r="F279" s="0" t="n">
        <v>0.68</v>
      </c>
    </row>
    <row r="280" customFormat="false" ht="15.75" hidden="false" customHeight="false" outlineLevel="0" collapsed="false">
      <c r="A280" s="24" t="s">
        <v>166</v>
      </c>
      <c r="B280" s="23" t="n">
        <v>44069</v>
      </c>
      <c r="C280" s="7" t="s">
        <v>8</v>
      </c>
      <c r="D280" s="24" t="s">
        <v>9</v>
      </c>
      <c r="E280" s="24" t="n">
        <v>7</v>
      </c>
      <c r="F280" s="0" t="n">
        <v>2.24</v>
      </c>
    </row>
    <row r="281" customFormat="false" ht="15.75" hidden="false" customHeight="false" outlineLevel="0" collapsed="false">
      <c r="A281" s="24" t="s">
        <v>166</v>
      </c>
      <c r="B281" s="23" t="n">
        <v>44069</v>
      </c>
      <c r="C281" s="7" t="s">
        <v>125</v>
      </c>
      <c r="D281" s="24" t="s">
        <v>126</v>
      </c>
      <c r="E281" s="24" t="n">
        <v>8</v>
      </c>
      <c r="F281" s="0" t="n">
        <v>2</v>
      </c>
    </row>
    <row r="282" customFormat="false" ht="15.75" hidden="false" customHeight="false" outlineLevel="0" collapsed="false">
      <c r="A282" s="24" t="s">
        <v>166</v>
      </c>
      <c r="B282" s="23" t="n">
        <v>44069</v>
      </c>
      <c r="C282" s="7" t="s">
        <v>93</v>
      </c>
      <c r="D282" s="24" t="s">
        <v>94</v>
      </c>
      <c r="E282" s="24" t="n">
        <v>2</v>
      </c>
      <c r="F282" s="0" t="n">
        <v>0.68</v>
      </c>
    </row>
    <row r="283" customFormat="false" ht="15.75" hidden="false" customHeight="false" outlineLevel="0" collapsed="false">
      <c r="A283" s="24" t="s">
        <v>212</v>
      </c>
      <c r="B283" s="23" t="n">
        <v>44069</v>
      </c>
      <c r="C283" s="7" t="s">
        <v>83</v>
      </c>
      <c r="D283" s="24" t="s">
        <v>84</v>
      </c>
      <c r="E283" s="24" t="n">
        <v>20</v>
      </c>
      <c r="F283" s="0" t="n">
        <v>10</v>
      </c>
    </row>
    <row r="284" customFormat="false" ht="15.75" hidden="false" customHeight="false" outlineLevel="0" collapsed="false">
      <c r="A284" s="24" t="s">
        <v>212</v>
      </c>
      <c r="B284" s="23" t="n">
        <v>44069</v>
      </c>
      <c r="C284" s="7" t="s">
        <v>6</v>
      </c>
      <c r="D284" s="24" t="s">
        <v>7</v>
      </c>
      <c r="E284" s="24" t="n">
        <v>10</v>
      </c>
      <c r="F284" s="0" t="n">
        <v>10</v>
      </c>
    </row>
    <row r="285" customFormat="false" ht="15.75" hidden="false" customHeight="false" outlineLevel="0" collapsed="false">
      <c r="A285" s="24" t="s">
        <v>212</v>
      </c>
      <c r="B285" s="23" t="n">
        <v>44069</v>
      </c>
      <c r="C285" s="7" t="s">
        <v>91</v>
      </c>
      <c r="D285" s="24" t="s">
        <v>92</v>
      </c>
      <c r="E285" s="24" t="n">
        <v>6</v>
      </c>
      <c r="F285" s="0" t="n">
        <v>3</v>
      </c>
    </row>
    <row r="286" customFormat="false" ht="15.75" hidden="false" customHeight="false" outlineLevel="0" collapsed="false">
      <c r="A286" s="24" t="s">
        <v>182</v>
      </c>
      <c r="B286" s="23" t="n">
        <v>44069</v>
      </c>
      <c r="C286" s="7" t="s">
        <v>47</v>
      </c>
      <c r="D286" s="24" t="s">
        <v>48</v>
      </c>
      <c r="E286" s="24" t="n">
        <v>15</v>
      </c>
      <c r="F286" s="0" t="n">
        <v>3.6</v>
      </c>
    </row>
    <row r="287" customFormat="false" ht="15.75" hidden="false" customHeight="false" outlineLevel="0" collapsed="false">
      <c r="A287" s="24" t="s">
        <v>182</v>
      </c>
      <c r="B287" s="23" t="n">
        <v>44069</v>
      </c>
      <c r="C287" s="7" t="s">
        <v>125</v>
      </c>
      <c r="D287" s="24" t="s">
        <v>126</v>
      </c>
      <c r="E287" s="24" t="n">
        <v>10</v>
      </c>
      <c r="F287" s="0" t="n">
        <v>2.5</v>
      </c>
    </row>
    <row r="288" customFormat="false" ht="15.75" hidden="false" customHeight="false" outlineLevel="0" collapsed="false">
      <c r="A288" s="24" t="s">
        <v>182</v>
      </c>
      <c r="B288" s="23" t="n">
        <v>44069</v>
      </c>
      <c r="C288" s="7" t="s">
        <v>8</v>
      </c>
      <c r="D288" s="24" t="s">
        <v>9</v>
      </c>
      <c r="E288" s="24" t="n">
        <v>6</v>
      </c>
      <c r="F288" s="0" t="n">
        <v>1.92</v>
      </c>
    </row>
    <row r="289" customFormat="false" ht="15.75" hidden="false" customHeight="false" outlineLevel="0" collapsed="false">
      <c r="A289" s="24" t="s">
        <v>182</v>
      </c>
      <c r="B289" s="23" t="n">
        <v>44069</v>
      </c>
      <c r="C289" s="7" t="s">
        <v>41</v>
      </c>
      <c r="D289" s="24" t="s">
        <v>42</v>
      </c>
      <c r="E289" s="24" t="n">
        <v>3</v>
      </c>
      <c r="F289" s="0" t="n">
        <v>0.75</v>
      </c>
    </row>
    <row r="290" customFormat="false" ht="15.75" hidden="false" customHeight="false" outlineLevel="0" collapsed="false">
      <c r="A290" s="24" t="s">
        <v>213</v>
      </c>
      <c r="B290" s="23" t="n">
        <v>44069</v>
      </c>
      <c r="C290" s="7" t="s">
        <v>97</v>
      </c>
      <c r="D290" s="24" t="s">
        <v>98</v>
      </c>
      <c r="E290" s="24" t="n">
        <v>1</v>
      </c>
      <c r="F290" s="0" t="n">
        <v>0.24</v>
      </c>
    </row>
    <row r="291" customFormat="false" ht="15.75" hidden="false" customHeight="false" outlineLevel="0" collapsed="false">
      <c r="A291" s="24" t="s">
        <v>213</v>
      </c>
      <c r="B291" s="23" t="n">
        <v>44069</v>
      </c>
      <c r="C291" s="7" t="s">
        <v>95</v>
      </c>
      <c r="D291" s="24" t="s">
        <v>96</v>
      </c>
      <c r="E291" s="24" t="n">
        <v>1</v>
      </c>
      <c r="F291" s="0" t="n">
        <v>0.25</v>
      </c>
    </row>
    <row r="292" customFormat="false" ht="15.75" hidden="false" customHeight="false" outlineLevel="0" collapsed="false">
      <c r="A292" s="24" t="s">
        <v>213</v>
      </c>
      <c r="B292" s="23" t="n">
        <v>44069</v>
      </c>
      <c r="C292" s="7" t="s">
        <v>8</v>
      </c>
      <c r="D292" s="24" t="s">
        <v>9</v>
      </c>
      <c r="E292" s="24" t="n">
        <v>2</v>
      </c>
      <c r="F292" s="0" t="n">
        <v>0.64</v>
      </c>
    </row>
    <row r="293" customFormat="false" ht="15.75" hidden="false" customHeight="false" outlineLevel="0" collapsed="false">
      <c r="A293" s="24" t="s">
        <v>213</v>
      </c>
      <c r="B293" s="23" t="n">
        <v>44069</v>
      </c>
      <c r="C293" s="7" t="s">
        <v>26</v>
      </c>
      <c r="D293" s="24" t="s">
        <v>27</v>
      </c>
      <c r="E293" s="24" t="n">
        <v>1</v>
      </c>
      <c r="F293" s="0" t="n">
        <v>0.25</v>
      </c>
    </row>
    <row r="294" customFormat="false" ht="15.75" hidden="false" customHeight="false" outlineLevel="0" collapsed="false">
      <c r="A294" s="24" t="s">
        <v>213</v>
      </c>
      <c r="B294" s="23" t="n">
        <v>44069</v>
      </c>
      <c r="C294" s="7" t="s">
        <v>18</v>
      </c>
      <c r="D294" s="24" t="s">
        <v>19</v>
      </c>
      <c r="E294" s="24" t="n">
        <v>1</v>
      </c>
      <c r="F294" s="0" t="n">
        <v>0.25</v>
      </c>
    </row>
    <row r="295" customFormat="false" ht="15.75" hidden="false" customHeight="false" outlineLevel="0" collapsed="false">
      <c r="A295" s="24" t="s">
        <v>213</v>
      </c>
      <c r="B295" s="23" t="n">
        <v>44069</v>
      </c>
      <c r="C295" s="7" t="s">
        <v>47</v>
      </c>
      <c r="D295" s="24" t="s">
        <v>48</v>
      </c>
      <c r="E295" s="24" t="n">
        <v>1</v>
      </c>
      <c r="F295" s="0" t="n">
        <v>0.24</v>
      </c>
    </row>
    <row r="296" customFormat="false" ht="15.75" hidden="false" customHeight="false" outlineLevel="0" collapsed="false">
      <c r="A296" s="24" t="s">
        <v>213</v>
      </c>
      <c r="B296" s="23" t="n">
        <v>44069</v>
      </c>
      <c r="C296" s="7" t="s">
        <v>14</v>
      </c>
      <c r="D296" s="24" t="s">
        <v>15</v>
      </c>
      <c r="E296" s="24" t="n">
        <v>1</v>
      </c>
      <c r="F296" s="0" t="n">
        <v>0.15</v>
      </c>
    </row>
    <row r="297" customFormat="false" ht="15.75" hidden="false" customHeight="false" outlineLevel="0" collapsed="false">
      <c r="A297" s="24" t="s">
        <v>214</v>
      </c>
      <c r="B297" s="23" t="n">
        <v>44069</v>
      </c>
      <c r="C297" s="7" t="s">
        <v>123</v>
      </c>
      <c r="D297" s="24" t="s">
        <v>124</v>
      </c>
      <c r="E297" s="24" t="n">
        <v>52</v>
      </c>
      <c r="F297" s="0" t="n">
        <v>52</v>
      </c>
    </row>
    <row r="298" customFormat="false" ht="15.75" hidden="false" customHeight="false" outlineLevel="0" collapsed="false">
      <c r="A298" s="24" t="s">
        <v>215</v>
      </c>
      <c r="B298" s="23" t="n">
        <v>44069</v>
      </c>
      <c r="C298" s="7" t="s">
        <v>77</v>
      </c>
      <c r="D298" s="24" t="s">
        <v>78</v>
      </c>
      <c r="E298" s="24" t="n">
        <v>1</v>
      </c>
      <c r="F298" s="0" t="n">
        <v>0.3</v>
      </c>
    </row>
    <row r="299" customFormat="false" ht="15.75" hidden="false" customHeight="false" outlineLevel="0" collapsed="false">
      <c r="A299" s="24" t="s">
        <v>215</v>
      </c>
      <c r="B299" s="23" t="n">
        <v>44069</v>
      </c>
      <c r="C299" s="7" t="s">
        <v>36</v>
      </c>
      <c r="D299" s="24" t="s">
        <v>37</v>
      </c>
      <c r="E299" s="24" t="n">
        <v>3</v>
      </c>
      <c r="F299" s="0" t="n">
        <v>0.75</v>
      </c>
    </row>
    <row r="300" customFormat="false" ht="15.75" hidden="false" customHeight="false" outlineLevel="0" collapsed="false">
      <c r="A300" s="24" t="s">
        <v>215</v>
      </c>
      <c r="B300" s="23" t="n">
        <v>44069</v>
      </c>
      <c r="C300" s="7" t="s">
        <v>53</v>
      </c>
      <c r="D300" s="24" t="s">
        <v>54</v>
      </c>
      <c r="E300" s="24" t="n">
        <v>1</v>
      </c>
      <c r="F300" s="0" t="n">
        <v>0.25</v>
      </c>
    </row>
    <row r="301" customFormat="false" ht="15.75" hidden="false" customHeight="false" outlineLevel="0" collapsed="false">
      <c r="A301" s="24" t="s">
        <v>181</v>
      </c>
      <c r="B301" s="23" t="n">
        <v>44070</v>
      </c>
      <c r="C301" s="7" t="s">
        <v>22</v>
      </c>
      <c r="D301" s="24" t="s">
        <v>23</v>
      </c>
      <c r="E301" s="24" t="n">
        <v>12</v>
      </c>
      <c r="F301" s="0" t="n">
        <v>7.2</v>
      </c>
    </row>
    <row r="302" customFormat="false" ht="15.75" hidden="false" customHeight="false" outlineLevel="0" collapsed="false">
      <c r="A302" s="24" t="s">
        <v>181</v>
      </c>
      <c r="B302" s="23" t="n">
        <v>44070</v>
      </c>
      <c r="C302" s="7" t="s">
        <v>30</v>
      </c>
      <c r="D302" s="24" t="s">
        <v>31</v>
      </c>
      <c r="E302" s="24" t="n">
        <v>12</v>
      </c>
      <c r="F302" s="0" t="n">
        <v>7.2</v>
      </c>
    </row>
    <row r="303" customFormat="false" ht="15.75" hidden="false" customHeight="false" outlineLevel="0" collapsed="false">
      <c r="A303" s="24" t="s">
        <v>181</v>
      </c>
      <c r="B303" s="23" t="n">
        <v>44070</v>
      </c>
      <c r="C303" s="7" t="s">
        <v>47</v>
      </c>
      <c r="D303" s="24" t="s">
        <v>48</v>
      </c>
      <c r="E303" s="24" t="n">
        <v>12</v>
      </c>
      <c r="F303" s="0" t="n">
        <v>2.88</v>
      </c>
    </row>
    <row r="304" customFormat="false" ht="15.75" hidden="false" customHeight="false" outlineLevel="0" collapsed="false">
      <c r="A304" s="24" t="s">
        <v>216</v>
      </c>
      <c r="B304" s="23" t="n">
        <v>44070</v>
      </c>
      <c r="C304" s="7" t="s">
        <v>28</v>
      </c>
      <c r="D304" s="24" t="s">
        <v>29</v>
      </c>
      <c r="E304" s="24" t="n">
        <v>6</v>
      </c>
      <c r="F304" s="0" t="n">
        <v>2.4</v>
      </c>
    </row>
    <row r="305" customFormat="false" ht="15.75" hidden="false" customHeight="false" outlineLevel="0" collapsed="false">
      <c r="A305" s="24" t="s">
        <v>216</v>
      </c>
      <c r="B305" s="23" t="n">
        <v>44070</v>
      </c>
      <c r="C305" s="7" t="s">
        <v>26</v>
      </c>
      <c r="D305" s="24" t="s">
        <v>27</v>
      </c>
      <c r="E305" s="24" t="n">
        <v>2</v>
      </c>
      <c r="F305" s="0" t="n">
        <v>0.5</v>
      </c>
    </row>
    <row r="306" customFormat="false" ht="15.75" hidden="false" customHeight="false" outlineLevel="0" collapsed="false">
      <c r="A306" s="24" t="s">
        <v>216</v>
      </c>
      <c r="B306" s="23" t="n">
        <v>44070</v>
      </c>
      <c r="C306" s="7" t="s">
        <v>20</v>
      </c>
      <c r="D306" s="24" t="s">
        <v>21</v>
      </c>
      <c r="E306" s="24" t="n">
        <v>6</v>
      </c>
      <c r="F306" s="0" t="n">
        <v>2.4</v>
      </c>
    </row>
    <row r="307" customFormat="false" ht="15.75" hidden="false" customHeight="false" outlineLevel="0" collapsed="false">
      <c r="A307" s="24" t="s">
        <v>216</v>
      </c>
      <c r="B307" s="23" t="n">
        <v>44070</v>
      </c>
      <c r="C307" s="7" t="s">
        <v>18</v>
      </c>
      <c r="D307" s="24" t="s">
        <v>19</v>
      </c>
      <c r="E307" s="24" t="n">
        <v>2</v>
      </c>
      <c r="F307" s="0" t="n">
        <v>0.5</v>
      </c>
    </row>
    <row r="308" customFormat="false" ht="15.75" hidden="false" customHeight="false" outlineLevel="0" collapsed="false">
      <c r="A308" s="24" t="s">
        <v>216</v>
      </c>
      <c r="B308" s="23" t="n">
        <v>44070</v>
      </c>
      <c r="C308" s="7" t="s">
        <v>47</v>
      </c>
      <c r="D308" s="24" t="s">
        <v>48</v>
      </c>
      <c r="E308" s="24" t="n">
        <v>6</v>
      </c>
      <c r="F308" s="0" t="n">
        <v>1.44</v>
      </c>
    </row>
    <row r="309" customFormat="false" ht="15.75" hidden="false" customHeight="false" outlineLevel="0" collapsed="false">
      <c r="A309" s="24" t="s">
        <v>216</v>
      </c>
      <c r="B309" s="23" t="n">
        <v>44070</v>
      </c>
      <c r="C309" s="7" t="s">
        <v>41</v>
      </c>
      <c r="D309" s="24" t="s">
        <v>42</v>
      </c>
      <c r="E309" s="24" t="n">
        <v>2</v>
      </c>
      <c r="F309" s="0" t="n">
        <v>0.5</v>
      </c>
    </row>
    <row r="310" customFormat="false" ht="15.75" hidden="false" customHeight="false" outlineLevel="0" collapsed="false">
      <c r="A310" s="24" t="s">
        <v>216</v>
      </c>
      <c r="B310" s="23" t="n">
        <v>44070</v>
      </c>
      <c r="C310" s="7" t="s">
        <v>49</v>
      </c>
      <c r="D310" s="24" t="s">
        <v>50</v>
      </c>
      <c r="E310" s="24" t="n">
        <v>2</v>
      </c>
      <c r="F310" s="0" t="n">
        <v>0.64</v>
      </c>
    </row>
    <row r="311" customFormat="false" ht="15.75" hidden="false" customHeight="false" outlineLevel="0" collapsed="false">
      <c r="A311" s="24" t="s">
        <v>216</v>
      </c>
      <c r="B311" s="23" t="n">
        <v>44070</v>
      </c>
      <c r="C311" s="7" t="s">
        <v>125</v>
      </c>
      <c r="D311" s="24" t="s">
        <v>126</v>
      </c>
      <c r="E311" s="24" t="n">
        <v>6</v>
      </c>
      <c r="F311" s="0" t="n">
        <v>1.5</v>
      </c>
    </row>
    <row r="312" customFormat="false" ht="15.75" hidden="false" customHeight="false" outlineLevel="0" collapsed="false">
      <c r="A312" s="24" t="s">
        <v>216</v>
      </c>
      <c r="B312" s="23" t="n">
        <v>44070</v>
      </c>
      <c r="C312" s="7" t="s">
        <v>8</v>
      </c>
      <c r="D312" s="24" t="s">
        <v>9</v>
      </c>
      <c r="E312" s="24" t="n">
        <v>6</v>
      </c>
      <c r="F312" s="0" t="n">
        <v>1.92</v>
      </c>
    </row>
    <row r="313" customFormat="false" ht="15.75" hidden="false" customHeight="false" outlineLevel="0" collapsed="false">
      <c r="A313" s="24" t="s">
        <v>216</v>
      </c>
      <c r="B313" s="23" t="n">
        <v>44070</v>
      </c>
      <c r="C313" s="7" t="s">
        <v>95</v>
      </c>
      <c r="D313" s="24" t="s">
        <v>96</v>
      </c>
      <c r="E313" s="24" t="n">
        <v>2</v>
      </c>
      <c r="F313" s="0" t="n">
        <v>0.5</v>
      </c>
    </row>
    <row r="314" customFormat="false" ht="15.75" hidden="false" customHeight="false" outlineLevel="0" collapsed="false">
      <c r="A314" s="24" t="s">
        <v>216</v>
      </c>
      <c r="B314" s="23" t="n">
        <v>44070</v>
      </c>
      <c r="C314" s="7" t="s">
        <v>14</v>
      </c>
      <c r="D314" s="24" t="s">
        <v>15</v>
      </c>
      <c r="E314" s="24" t="n">
        <v>2</v>
      </c>
      <c r="F314" s="0" t="n">
        <v>0.3</v>
      </c>
    </row>
    <row r="315" customFormat="false" ht="15.75" hidden="false" customHeight="false" outlineLevel="0" collapsed="false">
      <c r="A315" s="24" t="s">
        <v>216</v>
      </c>
      <c r="B315" s="23" t="n">
        <v>44070</v>
      </c>
      <c r="C315" s="7" t="s">
        <v>83</v>
      </c>
      <c r="D315" s="24" t="s">
        <v>84</v>
      </c>
      <c r="E315" s="24" t="n">
        <v>4</v>
      </c>
      <c r="F315" s="0" t="n">
        <v>2</v>
      </c>
    </row>
    <row r="316" customFormat="false" ht="15.75" hidden="false" customHeight="false" outlineLevel="0" collapsed="false">
      <c r="A316" s="24" t="s">
        <v>216</v>
      </c>
      <c r="B316" s="23" t="n">
        <v>44070</v>
      </c>
      <c r="C316" s="7" t="s">
        <v>93</v>
      </c>
      <c r="D316" s="24" t="s">
        <v>94</v>
      </c>
      <c r="E316" s="24" t="n">
        <v>4</v>
      </c>
      <c r="F316" s="0" t="n">
        <v>1.36</v>
      </c>
    </row>
    <row r="317" customFormat="false" ht="15.75" hidden="false" customHeight="false" outlineLevel="0" collapsed="false">
      <c r="A317" s="24" t="s">
        <v>216</v>
      </c>
      <c r="B317" s="23" t="n">
        <v>44070</v>
      </c>
      <c r="C317" s="7" t="s">
        <v>32</v>
      </c>
      <c r="D317" s="24" t="s">
        <v>33</v>
      </c>
      <c r="E317" s="24" t="n">
        <v>4</v>
      </c>
      <c r="F317" s="0" t="n">
        <v>1.6</v>
      </c>
    </row>
    <row r="318" customFormat="false" ht="15.75" hidden="false" customHeight="false" outlineLevel="0" collapsed="false">
      <c r="A318" s="24" t="s">
        <v>157</v>
      </c>
      <c r="B318" s="23" t="n">
        <v>44069</v>
      </c>
      <c r="C318" s="7" t="s">
        <v>117</v>
      </c>
      <c r="D318" s="24" t="s">
        <v>118</v>
      </c>
      <c r="E318" s="24" t="n">
        <v>5</v>
      </c>
      <c r="F318" s="0" t="n">
        <v>1</v>
      </c>
    </row>
    <row r="319" customFormat="false" ht="15.75" hidden="false" customHeight="false" outlineLevel="0" collapsed="false">
      <c r="A319" s="24" t="s">
        <v>157</v>
      </c>
      <c r="B319" s="23" t="n">
        <v>44069</v>
      </c>
      <c r="C319" s="7" t="s">
        <v>14</v>
      </c>
      <c r="D319" s="24" t="s">
        <v>15</v>
      </c>
      <c r="E319" s="24" t="n">
        <v>3</v>
      </c>
      <c r="F319" s="0" t="n">
        <v>0.45</v>
      </c>
    </row>
    <row r="320" customFormat="false" ht="15.75" hidden="false" customHeight="false" outlineLevel="0" collapsed="false">
      <c r="A320" s="24" t="s">
        <v>160</v>
      </c>
      <c r="B320" s="23" t="n">
        <v>44070</v>
      </c>
      <c r="C320" s="7" t="s">
        <v>79</v>
      </c>
      <c r="D320" s="24" t="s">
        <v>80</v>
      </c>
      <c r="E320" s="24" t="n">
        <v>31.54</v>
      </c>
      <c r="F320" s="0" t="n">
        <v>31.54</v>
      </c>
    </row>
    <row r="321" customFormat="false" ht="15.75" hidden="false" customHeight="false" outlineLevel="0" collapsed="false">
      <c r="A321" s="24" t="s">
        <v>158</v>
      </c>
      <c r="B321" s="23" t="n">
        <v>44070</v>
      </c>
      <c r="C321" s="7" t="s">
        <v>79</v>
      </c>
      <c r="D321" s="24" t="s">
        <v>80</v>
      </c>
      <c r="E321" s="24" t="n">
        <v>18.94</v>
      </c>
      <c r="F321" s="0" t="n">
        <v>18.94</v>
      </c>
    </row>
    <row r="322" customFormat="false" ht="15.75" hidden="false" customHeight="false" outlineLevel="0" collapsed="false">
      <c r="A322" s="24" t="s">
        <v>223</v>
      </c>
      <c r="B322" s="23" t="n">
        <v>44070</v>
      </c>
      <c r="C322" s="7" t="s">
        <v>30</v>
      </c>
      <c r="D322" s="24" t="s">
        <v>31</v>
      </c>
      <c r="E322" s="24" t="n">
        <v>1</v>
      </c>
      <c r="F322" s="0" t="n">
        <v>0.6</v>
      </c>
    </row>
    <row r="323" customFormat="false" ht="15.75" hidden="false" customHeight="false" outlineLevel="0" collapsed="false">
      <c r="A323" s="24" t="s">
        <v>223</v>
      </c>
      <c r="B323" s="23" t="n">
        <v>44070</v>
      </c>
      <c r="C323" s="7" t="s">
        <v>28</v>
      </c>
      <c r="D323" s="24" t="s">
        <v>29</v>
      </c>
      <c r="E323" s="24" t="n">
        <v>2</v>
      </c>
      <c r="F323" s="0" t="n">
        <v>0.8</v>
      </c>
    </row>
    <row r="324" customFormat="false" ht="15.75" hidden="false" customHeight="false" outlineLevel="0" collapsed="false">
      <c r="A324" s="24" t="s">
        <v>223</v>
      </c>
      <c r="B324" s="23" t="n">
        <v>44070</v>
      </c>
      <c r="C324" s="7" t="s">
        <v>20</v>
      </c>
      <c r="D324" s="24" t="s">
        <v>21</v>
      </c>
      <c r="E324" s="24" t="n">
        <v>2</v>
      </c>
      <c r="F324" s="0" t="n">
        <v>0.8</v>
      </c>
    </row>
    <row r="325" customFormat="false" ht="15.75" hidden="false" customHeight="false" outlineLevel="0" collapsed="false">
      <c r="A325" s="24" t="s">
        <v>223</v>
      </c>
      <c r="B325" s="23" t="n">
        <v>44070</v>
      </c>
      <c r="C325" s="7" t="s">
        <v>14</v>
      </c>
      <c r="D325" s="24" t="s">
        <v>15</v>
      </c>
      <c r="E325" s="24" t="n">
        <v>2</v>
      </c>
      <c r="F325" s="0" t="n">
        <v>0.3</v>
      </c>
    </row>
    <row r="326" customFormat="false" ht="15.75" hidden="false" customHeight="false" outlineLevel="0" collapsed="false">
      <c r="A326" s="24" t="s">
        <v>223</v>
      </c>
      <c r="B326" s="23" t="n">
        <v>44070</v>
      </c>
      <c r="C326" s="7" t="s">
        <v>69</v>
      </c>
      <c r="D326" s="24" t="s">
        <v>70</v>
      </c>
      <c r="E326" s="24" t="n">
        <v>1</v>
      </c>
      <c r="F326" s="0" t="n">
        <v>0.25</v>
      </c>
    </row>
    <row r="327" customFormat="false" ht="15.75" hidden="false" customHeight="false" outlineLevel="0" collapsed="false">
      <c r="A327" s="24" t="s">
        <v>223</v>
      </c>
      <c r="B327" s="23" t="n">
        <v>44070</v>
      </c>
      <c r="C327" s="7" t="s">
        <v>109</v>
      </c>
      <c r="D327" s="24" t="s">
        <v>110</v>
      </c>
      <c r="E327" s="24" t="n">
        <v>2</v>
      </c>
      <c r="F327" s="0" t="n">
        <v>0.4</v>
      </c>
    </row>
    <row r="328" customFormat="false" ht="15.75" hidden="false" customHeight="false" outlineLevel="0" collapsed="false">
      <c r="A328" s="24" t="s">
        <v>223</v>
      </c>
      <c r="B328" s="23" t="n">
        <v>44070</v>
      </c>
      <c r="C328" s="7" t="s">
        <v>32</v>
      </c>
      <c r="D328" s="24" t="s">
        <v>33</v>
      </c>
      <c r="E328" s="24" t="n">
        <v>2</v>
      </c>
      <c r="F328" s="0" t="n">
        <v>0.8</v>
      </c>
    </row>
    <row r="329" customFormat="false" ht="15.75" hidden="false" customHeight="false" outlineLevel="0" collapsed="false">
      <c r="A329" s="24" t="s">
        <v>227</v>
      </c>
      <c r="B329" s="23" t="n">
        <v>44070</v>
      </c>
      <c r="C329" s="7" t="s">
        <v>83</v>
      </c>
      <c r="D329" s="24" t="s">
        <v>84</v>
      </c>
      <c r="E329" s="24" t="n">
        <v>8</v>
      </c>
      <c r="F329" s="17" t="n">
        <v>4</v>
      </c>
    </row>
    <row r="330" customFormat="false" ht="15.75" hidden="false" customHeight="false" outlineLevel="0" collapsed="false">
      <c r="A330" s="24" t="s">
        <v>228</v>
      </c>
      <c r="B330" s="23" t="n">
        <v>44071</v>
      </c>
      <c r="C330" s="7" t="s">
        <v>28</v>
      </c>
      <c r="D330" s="24" t="s">
        <v>29</v>
      </c>
      <c r="E330" s="24" t="n">
        <v>4</v>
      </c>
      <c r="F330" s="0" t="n">
        <v>1.6</v>
      </c>
    </row>
    <row r="331" customFormat="false" ht="15.75" hidden="false" customHeight="false" outlineLevel="0" collapsed="false">
      <c r="A331" s="24" t="s">
        <v>228</v>
      </c>
      <c r="B331" s="23" t="n">
        <v>44071</v>
      </c>
      <c r="C331" s="7" t="s">
        <v>83</v>
      </c>
      <c r="D331" s="24" t="s">
        <v>84</v>
      </c>
      <c r="E331" s="24" t="n">
        <v>2</v>
      </c>
      <c r="F331" s="0" t="n">
        <v>1</v>
      </c>
    </row>
    <row r="332" customFormat="false" ht="15.75" hidden="false" customHeight="false" outlineLevel="0" collapsed="false">
      <c r="A332" s="24" t="s">
        <v>228</v>
      </c>
      <c r="B332" s="23" t="n">
        <v>44071</v>
      </c>
      <c r="C332" s="7" t="s">
        <v>77</v>
      </c>
      <c r="D332" s="24" t="s">
        <v>78</v>
      </c>
      <c r="E332" s="24" t="n">
        <v>2</v>
      </c>
      <c r="F332" s="0" t="n">
        <v>0.6</v>
      </c>
    </row>
    <row r="333" customFormat="false" ht="15.75" hidden="false" customHeight="false" outlineLevel="0" collapsed="false">
      <c r="A333" s="24" t="s">
        <v>228</v>
      </c>
      <c r="B333" s="23" t="n">
        <v>44071</v>
      </c>
      <c r="C333" s="7" t="s">
        <v>81</v>
      </c>
      <c r="D333" s="24" t="s">
        <v>82</v>
      </c>
      <c r="E333" s="24" t="n">
        <v>2</v>
      </c>
      <c r="F333" s="0" t="n">
        <v>0.5</v>
      </c>
    </row>
    <row r="334" customFormat="false" ht="15.75" hidden="false" customHeight="false" outlineLevel="0" collapsed="false">
      <c r="A334" s="24" t="s">
        <v>229</v>
      </c>
      <c r="B334" s="23" t="n">
        <v>44071</v>
      </c>
      <c r="C334" s="7" t="s">
        <v>47</v>
      </c>
      <c r="D334" s="24" t="s">
        <v>48</v>
      </c>
      <c r="E334" s="24" t="n">
        <v>8</v>
      </c>
      <c r="F334" s="0" t="n">
        <v>1.92</v>
      </c>
    </row>
    <row r="335" customFormat="false" ht="15.75" hidden="false" customHeight="false" outlineLevel="0" collapsed="false">
      <c r="A335" s="24" t="s">
        <v>229</v>
      </c>
      <c r="B335" s="23" t="n">
        <v>44071</v>
      </c>
      <c r="C335" s="7" t="s">
        <v>14</v>
      </c>
      <c r="D335" s="24" t="s">
        <v>15</v>
      </c>
      <c r="E335" s="24" t="n">
        <v>6</v>
      </c>
      <c r="F335" s="0" t="n">
        <v>0.9</v>
      </c>
    </row>
    <row r="336" customFormat="false" ht="15.75" hidden="false" customHeight="false" outlineLevel="0" collapsed="false">
      <c r="A336" s="24" t="s">
        <v>229</v>
      </c>
      <c r="B336" s="23" t="n">
        <v>44071</v>
      </c>
      <c r="C336" s="7" t="s">
        <v>97</v>
      </c>
      <c r="D336" s="24" t="s">
        <v>98</v>
      </c>
      <c r="E336" s="24" t="n">
        <v>6</v>
      </c>
      <c r="F336" s="0" t="n">
        <v>1.44</v>
      </c>
    </row>
    <row r="337" customFormat="false" ht="15.75" hidden="false" customHeight="false" outlineLevel="0" collapsed="false">
      <c r="A337" s="24" t="s">
        <v>229</v>
      </c>
      <c r="B337" s="23" t="n">
        <v>44071</v>
      </c>
      <c r="C337" s="7" t="s">
        <v>117</v>
      </c>
      <c r="D337" s="24" t="s">
        <v>118</v>
      </c>
      <c r="E337" s="24" t="n">
        <v>6</v>
      </c>
      <c r="F337" s="0" t="n">
        <v>1.2</v>
      </c>
    </row>
    <row r="338" customFormat="false" ht="15.75" hidden="false" customHeight="false" outlineLevel="0" collapsed="false">
      <c r="A338" s="24" t="s">
        <v>182</v>
      </c>
      <c r="B338" s="23" t="n">
        <v>44071</v>
      </c>
      <c r="C338" s="7" t="s">
        <v>8</v>
      </c>
      <c r="D338" s="24" t="s">
        <v>9</v>
      </c>
      <c r="E338" s="24" t="n">
        <v>3</v>
      </c>
      <c r="F338" s="0" t="n">
        <v>0.96</v>
      </c>
    </row>
    <row r="339" customFormat="false" ht="15.75" hidden="false" customHeight="false" outlineLevel="0" collapsed="false">
      <c r="A339" s="24" t="s">
        <v>182</v>
      </c>
      <c r="B339" s="23" t="n">
        <v>44071</v>
      </c>
      <c r="C339" s="7" t="s">
        <v>47</v>
      </c>
      <c r="D339" s="24" t="s">
        <v>48</v>
      </c>
      <c r="E339" s="24" t="n">
        <v>2</v>
      </c>
      <c r="F339" s="0" t="n">
        <v>0.48</v>
      </c>
    </row>
    <row r="340" customFormat="false" ht="15.75" hidden="false" customHeight="false" outlineLevel="0" collapsed="false">
      <c r="A340" s="24" t="s">
        <v>182</v>
      </c>
      <c r="B340" s="23" t="n">
        <v>44071</v>
      </c>
      <c r="C340" s="7" t="s">
        <v>14</v>
      </c>
      <c r="D340" s="24" t="s">
        <v>15</v>
      </c>
      <c r="E340" s="24" t="n">
        <v>1</v>
      </c>
      <c r="F340" s="0" t="n">
        <v>0.15</v>
      </c>
    </row>
    <row r="341" customFormat="false" ht="15.75" hidden="false" customHeight="false" outlineLevel="0" collapsed="false">
      <c r="A341" s="24" t="s">
        <v>182</v>
      </c>
      <c r="B341" s="23" t="n">
        <v>44071</v>
      </c>
      <c r="C341" s="7" t="s">
        <v>125</v>
      </c>
      <c r="D341" s="24" t="s">
        <v>126</v>
      </c>
      <c r="E341" s="24" t="n">
        <v>6</v>
      </c>
      <c r="F341" s="0" t="n">
        <v>1.5</v>
      </c>
    </row>
    <row r="342" customFormat="false" ht="15.75" hidden="false" customHeight="false" outlineLevel="0" collapsed="false">
      <c r="A342" s="24" t="s">
        <v>182</v>
      </c>
      <c r="B342" s="23" t="n">
        <v>44071</v>
      </c>
      <c r="C342" s="7" t="s">
        <v>43</v>
      </c>
      <c r="D342" s="24" t="s">
        <v>44</v>
      </c>
      <c r="E342" s="24" t="n">
        <v>0.5</v>
      </c>
      <c r="F342" s="0" t="n">
        <v>1</v>
      </c>
    </row>
    <row r="343" customFormat="false" ht="15.75" hidden="false" customHeight="false" outlineLevel="0" collapsed="false">
      <c r="A343" s="24" t="s">
        <v>213</v>
      </c>
      <c r="B343" s="23" t="n">
        <v>44071</v>
      </c>
      <c r="C343" s="7" t="s">
        <v>47</v>
      </c>
      <c r="D343" s="24" t="s">
        <v>48</v>
      </c>
      <c r="E343" s="24" t="n">
        <v>2</v>
      </c>
      <c r="F343" s="0" t="n">
        <v>0.48</v>
      </c>
    </row>
    <row r="344" customFormat="false" ht="15.75" hidden="false" customHeight="false" outlineLevel="0" collapsed="false">
      <c r="A344" s="24" t="s">
        <v>213</v>
      </c>
      <c r="B344" s="23" t="n">
        <v>44071</v>
      </c>
      <c r="C344" s="7" t="s">
        <v>22</v>
      </c>
      <c r="D344" s="24" t="s">
        <v>23</v>
      </c>
      <c r="E344" s="24" t="n">
        <v>1</v>
      </c>
      <c r="F344" s="0" t="n">
        <v>0.6</v>
      </c>
    </row>
    <row r="345" customFormat="false" ht="15.75" hidden="false" customHeight="false" outlineLevel="0" collapsed="false">
      <c r="A345" s="24" t="s">
        <v>230</v>
      </c>
      <c r="B345" s="23" t="n">
        <v>44071</v>
      </c>
      <c r="C345" s="7" t="s">
        <v>24</v>
      </c>
      <c r="D345" s="24" t="s">
        <v>25</v>
      </c>
      <c r="E345" s="24" t="n">
        <v>5</v>
      </c>
      <c r="F345" s="0" t="n">
        <v>5</v>
      </c>
    </row>
    <row r="346" customFormat="false" ht="15.75" hidden="false" customHeight="false" outlineLevel="0" collapsed="false">
      <c r="A346" s="24" t="s">
        <v>159</v>
      </c>
      <c r="B346" s="23" t="n">
        <v>44071</v>
      </c>
      <c r="C346" s="7" t="s">
        <v>24</v>
      </c>
      <c r="D346" s="24" t="s">
        <v>25</v>
      </c>
      <c r="E346" s="24" t="n">
        <v>15</v>
      </c>
      <c r="F346" s="0" t="n">
        <v>15</v>
      </c>
    </row>
    <row r="347" customFormat="false" ht="15.75" hidden="false" customHeight="false" outlineLevel="0" collapsed="false">
      <c r="A347" s="24" t="s">
        <v>159</v>
      </c>
      <c r="B347" s="23" t="n">
        <v>44071</v>
      </c>
      <c r="C347" s="7" t="s">
        <v>83</v>
      </c>
      <c r="D347" s="24" t="s">
        <v>84</v>
      </c>
      <c r="E347" s="24" t="n">
        <v>8</v>
      </c>
      <c r="F347" s="0" t="n">
        <v>4</v>
      </c>
    </row>
    <row r="348" customFormat="false" ht="15.75" hidden="false" customHeight="false" outlineLevel="0" collapsed="false">
      <c r="A348" s="24" t="s">
        <v>159</v>
      </c>
      <c r="B348" s="23" t="n">
        <v>44071</v>
      </c>
      <c r="C348" s="7" t="s">
        <v>113</v>
      </c>
      <c r="D348" s="24" t="s">
        <v>114</v>
      </c>
      <c r="E348" s="24" t="n">
        <v>12</v>
      </c>
      <c r="F348" s="0" t="n">
        <v>6</v>
      </c>
    </row>
    <row r="349" customFormat="false" ht="15.75" hidden="false" customHeight="false" outlineLevel="0" collapsed="false">
      <c r="A349" s="24" t="s">
        <v>159</v>
      </c>
      <c r="B349" s="23" t="n">
        <v>44071</v>
      </c>
      <c r="C349" s="7" t="s">
        <v>43</v>
      </c>
      <c r="D349" s="24" t="s">
        <v>44</v>
      </c>
      <c r="E349" s="24" t="n">
        <v>34</v>
      </c>
      <c r="F349" s="0" t="n">
        <v>68</v>
      </c>
    </row>
    <row r="350" customFormat="false" ht="15.75" hidden="false" customHeight="false" outlineLevel="0" collapsed="false">
      <c r="A350" s="24" t="s">
        <v>159</v>
      </c>
      <c r="B350" s="23" t="n">
        <v>44071</v>
      </c>
      <c r="C350" s="7" t="s">
        <v>87</v>
      </c>
      <c r="D350" s="24" t="s">
        <v>88</v>
      </c>
      <c r="E350" s="24" t="n">
        <v>4</v>
      </c>
      <c r="F350" s="0" t="n">
        <v>1</v>
      </c>
    </row>
    <row r="351" customFormat="false" ht="15.75" hidden="false" customHeight="false" outlineLevel="0" collapsed="false">
      <c r="A351" s="24" t="s">
        <v>234</v>
      </c>
      <c r="B351" s="23" t="n">
        <v>44071</v>
      </c>
      <c r="C351" s="7" t="s">
        <v>113</v>
      </c>
      <c r="D351" s="24" t="s">
        <v>114</v>
      </c>
      <c r="E351" s="24" t="n">
        <v>60</v>
      </c>
      <c r="F351" s="0" t="n">
        <v>30</v>
      </c>
    </row>
    <row r="352" customFormat="false" ht="15.75" hidden="false" customHeight="false" outlineLevel="0" collapsed="false">
      <c r="A352" s="24" t="s">
        <v>185</v>
      </c>
      <c r="B352" s="23" t="n">
        <v>44071</v>
      </c>
      <c r="C352" s="7" t="s">
        <v>121</v>
      </c>
      <c r="D352" s="24" t="s">
        <v>122</v>
      </c>
      <c r="E352" s="24" t="n">
        <v>5</v>
      </c>
      <c r="F352" s="0" t="n">
        <v>2.5</v>
      </c>
    </row>
    <row r="353" customFormat="false" ht="15" hidden="false" customHeight="false" outlineLevel="0" collapsed="false">
      <c r="A353" s="24" t="s">
        <v>197</v>
      </c>
      <c r="B353" s="23" t="n">
        <v>44072</v>
      </c>
      <c r="C353" s="12" t="s">
        <v>20</v>
      </c>
      <c r="D353" s="24" t="s">
        <v>21</v>
      </c>
      <c r="E353" s="24" t="n">
        <v>6</v>
      </c>
      <c r="F353" s="0" t="n">
        <v>2.4</v>
      </c>
    </row>
    <row r="354" customFormat="false" ht="15" hidden="false" customHeight="false" outlineLevel="0" collapsed="false">
      <c r="A354" s="24" t="s">
        <v>197</v>
      </c>
      <c r="B354" s="23" t="n">
        <v>44072</v>
      </c>
      <c r="C354" s="12" t="s">
        <v>83</v>
      </c>
      <c r="D354" s="24" t="s">
        <v>84</v>
      </c>
      <c r="E354" s="24" t="n">
        <v>6</v>
      </c>
      <c r="F354" s="0" t="n">
        <v>3</v>
      </c>
    </row>
    <row r="355" customFormat="false" ht="15" hidden="false" customHeight="false" outlineLevel="0" collapsed="false">
      <c r="A355" s="24" t="s">
        <v>197</v>
      </c>
      <c r="B355" s="23" t="n">
        <v>44072</v>
      </c>
      <c r="C355" s="12" t="s">
        <v>14</v>
      </c>
      <c r="D355" s="24" t="s">
        <v>15</v>
      </c>
      <c r="E355" s="24" t="n">
        <v>6</v>
      </c>
      <c r="F355" s="0" t="n">
        <v>0.9</v>
      </c>
    </row>
    <row r="356" customFormat="false" ht="15.75" hidden="false" customHeight="false" outlineLevel="0" collapsed="false">
      <c r="A356" s="24" t="s">
        <v>197</v>
      </c>
      <c r="B356" s="23" t="n">
        <v>44072</v>
      </c>
      <c r="C356" s="7" t="s">
        <v>28</v>
      </c>
      <c r="D356" s="24" t="s">
        <v>29</v>
      </c>
      <c r="E356" s="24" t="n">
        <v>18</v>
      </c>
      <c r="F356" s="0" t="n">
        <v>7.2</v>
      </c>
    </row>
    <row r="357" customFormat="false" ht="15.75" hidden="false" customHeight="false" outlineLevel="0" collapsed="false">
      <c r="A357" s="24" t="s">
        <v>197</v>
      </c>
      <c r="B357" s="23" t="n">
        <v>44072</v>
      </c>
      <c r="C357" s="7" t="s">
        <v>97</v>
      </c>
      <c r="D357" s="24" t="s">
        <v>98</v>
      </c>
      <c r="E357" s="24" t="n">
        <v>4</v>
      </c>
      <c r="F357" s="0" t="n">
        <v>0.96</v>
      </c>
    </row>
    <row r="358" customFormat="false" ht="15.75" hidden="false" customHeight="false" outlineLevel="0" collapsed="false">
      <c r="A358" s="24" t="s">
        <v>157</v>
      </c>
      <c r="B358" s="23" t="n">
        <v>44072</v>
      </c>
      <c r="C358" s="7" t="s">
        <v>47</v>
      </c>
      <c r="D358" s="24" t="s">
        <v>48</v>
      </c>
      <c r="E358" s="24" t="n">
        <v>2</v>
      </c>
      <c r="F358" s="0" t="n">
        <v>0.48</v>
      </c>
    </row>
    <row r="359" customFormat="false" ht="15.75" hidden="false" customHeight="false" outlineLevel="0" collapsed="false">
      <c r="A359" s="24" t="s">
        <v>157</v>
      </c>
      <c r="B359" s="23" t="n">
        <v>44072</v>
      </c>
      <c r="C359" s="7" t="s">
        <v>14</v>
      </c>
      <c r="D359" s="24" t="s">
        <v>15</v>
      </c>
      <c r="E359" s="24" t="n">
        <v>5</v>
      </c>
      <c r="F359" s="0" t="n">
        <v>0.75</v>
      </c>
    </row>
    <row r="360" customFormat="false" ht="15.75" hidden="false" customHeight="false" outlineLevel="0" collapsed="false">
      <c r="A360" s="24" t="s">
        <v>167</v>
      </c>
      <c r="B360" s="23" t="n">
        <v>44072</v>
      </c>
      <c r="C360" s="7" t="s">
        <v>30</v>
      </c>
      <c r="D360" s="24" t="s">
        <v>31</v>
      </c>
      <c r="E360" s="24" t="n">
        <v>4</v>
      </c>
      <c r="F360" s="0" t="n">
        <v>2.4</v>
      </c>
    </row>
    <row r="361" customFormat="false" ht="15.75" hidden="false" customHeight="false" outlineLevel="0" collapsed="false">
      <c r="A361" s="24" t="s">
        <v>167</v>
      </c>
      <c r="B361" s="23" t="n">
        <v>44072</v>
      </c>
      <c r="C361" s="7" t="s">
        <v>22</v>
      </c>
      <c r="D361" s="24" t="s">
        <v>23</v>
      </c>
      <c r="E361" s="24" t="n">
        <v>7</v>
      </c>
      <c r="F361" s="0" t="n">
        <v>4.2</v>
      </c>
    </row>
    <row r="362" customFormat="false" ht="15.75" hidden="false" customHeight="false" outlineLevel="0" collapsed="false">
      <c r="A362" s="24" t="s">
        <v>167</v>
      </c>
      <c r="B362" s="23" t="n">
        <v>44072</v>
      </c>
      <c r="C362" s="7" t="s">
        <v>20</v>
      </c>
      <c r="D362" s="24" t="s">
        <v>21</v>
      </c>
      <c r="E362" s="24" t="n">
        <v>6</v>
      </c>
      <c r="F362" s="0" t="n">
        <v>2.4</v>
      </c>
    </row>
    <row r="363" customFormat="false" ht="15.75" hidden="false" customHeight="false" outlineLevel="0" collapsed="false">
      <c r="A363" s="24" t="s">
        <v>167</v>
      </c>
      <c r="B363" s="23" t="n">
        <v>44072</v>
      </c>
      <c r="C363" s="7" t="s">
        <v>8</v>
      </c>
      <c r="D363" s="24" t="s">
        <v>9</v>
      </c>
      <c r="E363" s="24" t="n">
        <v>10</v>
      </c>
      <c r="F363" s="0" t="n">
        <v>3.2</v>
      </c>
    </row>
    <row r="364" customFormat="false" ht="15.75" hidden="false" customHeight="false" outlineLevel="0" collapsed="false">
      <c r="A364" s="24" t="s">
        <v>167</v>
      </c>
      <c r="B364" s="23" t="n">
        <v>44072</v>
      </c>
      <c r="C364" s="7" t="s">
        <v>125</v>
      </c>
      <c r="D364" s="24" t="s">
        <v>126</v>
      </c>
      <c r="E364" s="24" t="n">
        <v>9</v>
      </c>
      <c r="F364" s="0" t="n">
        <v>2.25</v>
      </c>
    </row>
    <row r="365" customFormat="false" ht="15.75" hidden="false" customHeight="false" outlineLevel="0" collapsed="false">
      <c r="A365" s="24" t="s">
        <v>167</v>
      </c>
      <c r="B365" s="23" t="n">
        <v>44072</v>
      </c>
      <c r="C365" s="7" t="s">
        <v>47</v>
      </c>
      <c r="D365" s="24" t="s">
        <v>48</v>
      </c>
      <c r="E365" s="24" t="n">
        <v>10</v>
      </c>
      <c r="F365" s="0" t="n">
        <v>2.4</v>
      </c>
    </row>
    <row r="366" customFormat="false" ht="15.75" hidden="false" customHeight="false" outlineLevel="0" collapsed="false">
      <c r="A366" s="24" t="s">
        <v>167</v>
      </c>
      <c r="B366" s="23" t="n">
        <v>44072</v>
      </c>
      <c r="C366" s="7" t="s">
        <v>41</v>
      </c>
      <c r="D366" s="24" t="s">
        <v>42</v>
      </c>
      <c r="E366" s="24" t="n">
        <v>3</v>
      </c>
      <c r="F366" s="0" t="n">
        <v>0.75</v>
      </c>
    </row>
    <row r="367" customFormat="false" ht="15.75" hidden="false" customHeight="false" outlineLevel="0" collapsed="false">
      <c r="A367" s="24" t="s">
        <v>167</v>
      </c>
      <c r="B367" s="23" t="n">
        <v>44072</v>
      </c>
      <c r="C367" s="7" t="s">
        <v>14</v>
      </c>
      <c r="D367" s="24" t="s">
        <v>15</v>
      </c>
      <c r="E367" s="24" t="n">
        <v>10</v>
      </c>
      <c r="F367" s="0" t="n">
        <v>1.5</v>
      </c>
    </row>
    <row r="368" customFormat="false" ht="15.75" hidden="false" customHeight="false" outlineLevel="0" collapsed="false">
      <c r="A368" s="24" t="s">
        <v>167</v>
      </c>
      <c r="B368" s="23" t="n">
        <v>44072</v>
      </c>
      <c r="C368" s="7" t="s">
        <v>97</v>
      </c>
      <c r="D368" s="24" t="s">
        <v>98</v>
      </c>
      <c r="E368" s="24" t="n">
        <v>6</v>
      </c>
      <c r="F368" s="0" t="n">
        <v>1.44</v>
      </c>
    </row>
    <row r="369" customFormat="false" ht="15.75" hidden="false" customHeight="false" outlineLevel="0" collapsed="false">
      <c r="A369" s="24" t="s">
        <v>167</v>
      </c>
      <c r="B369" s="23" t="n">
        <v>44072</v>
      </c>
      <c r="C369" s="7" t="s">
        <v>117</v>
      </c>
      <c r="D369" s="24" t="s">
        <v>118</v>
      </c>
      <c r="E369" s="24" t="n">
        <v>5</v>
      </c>
      <c r="F369" s="0" t="n">
        <v>1</v>
      </c>
    </row>
    <row r="370" customFormat="false" ht="15.75" hidden="false" customHeight="false" outlineLevel="0" collapsed="false">
      <c r="A370" s="24" t="s">
        <v>167</v>
      </c>
      <c r="B370" s="23" t="n">
        <v>44072</v>
      </c>
      <c r="C370" s="7" t="s">
        <v>109</v>
      </c>
      <c r="D370" s="24" t="s">
        <v>110</v>
      </c>
      <c r="E370" s="24" t="n">
        <v>10</v>
      </c>
      <c r="F370" s="0" t="n">
        <v>2</v>
      </c>
    </row>
    <row r="371" customFormat="false" ht="15.75" hidden="false" customHeight="false" outlineLevel="0" collapsed="false">
      <c r="A371" s="24" t="s">
        <v>167</v>
      </c>
      <c r="B371" s="23" t="n">
        <v>44072</v>
      </c>
      <c r="C371" s="7" t="s">
        <v>77</v>
      </c>
      <c r="D371" s="24" t="s">
        <v>78</v>
      </c>
      <c r="E371" s="24" t="n">
        <v>10</v>
      </c>
      <c r="F371" s="0" t="n">
        <v>3</v>
      </c>
    </row>
    <row r="372" customFormat="false" ht="15.75" hidden="false" customHeight="false" outlineLevel="0" collapsed="false">
      <c r="A372" s="24" t="s">
        <v>167</v>
      </c>
      <c r="B372" s="23" t="n">
        <v>44072</v>
      </c>
      <c r="C372" s="7" t="s">
        <v>69</v>
      </c>
      <c r="D372" s="24" t="s">
        <v>70</v>
      </c>
      <c r="E372" s="24" t="n">
        <v>3</v>
      </c>
      <c r="F372" s="0" t="n">
        <v>0.75</v>
      </c>
    </row>
    <row r="373" customFormat="false" ht="15.75" hidden="false" customHeight="false" outlineLevel="0" collapsed="false">
      <c r="A373" s="24" t="s">
        <v>167</v>
      </c>
      <c r="B373" s="23" t="n">
        <v>44072</v>
      </c>
      <c r="C373" s="7" t="s">
        <v>131</v>
      </c>
      <c r="D373" s="24" t="s">
        <v>132</v>
      </c>
      <c r="E373" s="24" t="n">
        <v>1</v>
      </c>
      <c r="F373" s="0" t="n">
        <v>0.25</v>
      </c>
    </row>
    <row r="374" customFormat="false" ht="15.75" hidden="false" customHeight="false" outlineLevel="0" collapsed="false">
      <c r="A374" s="24" t="s">
        <v>167</v>
      </c>
      <c r="B374" s="23" t="n">
        <v>44072</v>
      </c>
      <c r="C374" s="7" t="s">
        <v>137</v>
      </c>
      <c r="D374" s="24" t="s">
        <v>138</v>
      </c>
      <c r="E374" s="24" t="n">
        <v>4</v>
      </c>
      <c r="F374" s="0" t="n">
        <v>1.2</v>
      </c>
    </row>
    <row r="375" customFormat="false" ht="15.75" hidden="false" customHeight="false" outlineLevel="0" collapsed="false">
      <c r="A375" s="24" t="s">
        <v>167</v>
      </c>
      <c r="B375" s="23" t="n">
        <v>44072</v>
      </c>
      <c r="C375" s="7" t="s">
        <v>139</v>
      </c>
      <c r="D375" s="24" t="s">
        <v>140</v>
      </c>
      <c r="E375" s="24" t="n">
        <v>3</v>
      </c>
      <c r="F375" s="0" t="n">
        <v>0.75</v>
      </c>
    </row>
    <row r="376" customFormat="false" ht="15.75" hidden="false" customHeight="false" outlineLevel="0" collapsed="false">
      <c r="A376" s="24" t="s">
        <v>167</v>
      </c>
      <c r="B376" s="23" t="n">
        <v>44069</v>
      </c>
      <c r="C376" s="7" t="s">
        <v>109</v>
      </c>
      <c r="D376" s="24" t="s">
        <v>110</v>
      </c>
      <c r="E376" s="24" t="n">
        <v>5</v>
      </c>
      <c r="F376" s="0" t="n">
        <v>1</v>
      </c>
    </row>
    <row r="377" customFormat="false" ht="15.75" hidden="false" customHeight="false" outlineLevel="0" collapsed="false">
      <c r="A377" s="24" t="s">
        <v>167</v>
      </c>
      <c r="B377" s="23" t="n">
        <v>44069</v>
      </c>
      <c r="C377" s="7" t="s">
        <v>49</v>
      </c>
      <c r="D377" s="24" t="s">
        <v>50</v>
      </c>
      <c r="E377" s="24" t="n">
        <v>10</v>
      </c>
      <c r="F377" s="0" t="n">
        <v>4.5</v>
      </c>
    </row>
    <row r="378" customFormat="false" ht="15.75" hidden="false" customHeight="false" outlineLevel="0" collapsed="false">
      <c r="A378" s="24" t="s">
        <v>167</v>
      </c>
      <c r="B378" s="23" t="n">
        <v>44069</v>
      </c>
      <c r="C378" s="7" t="s">
        <v>93</v>
      </c>
      <c r="D378" s="24" t="s">
        <v>94</v>
      </c>
      <c r="E378" s="24" t="n">
        <v>5</v>
      </c>
      <c r="F378" s="0" t="n">
        <v>1.7</v>
      </c>
    </row>
    <row r="379" customFormat="false" ht="15.75" hidden="false" customHeight="false" outlineLevel="0" collapsed="false">
      <c r="A379" s="24" t="s">
        <v>235</v>
      </c>
      <c r="B379" s="23" t="n">
        <v>44072</v>
      </c>
      <c r="C379" s="7" t="s">
        <v>79</v>
      </c>
      <c r="D379" s="24" t="s">
        <v>80</v>
      </c>
      <c r="E379" s="24" t="n">
        <v>3.575</v>
      </c>
      <c r="F379" s="0" t="n">
        <v>3.575</v>
      </c>
    </row>
    <row r="380" customFormat="false" ht="15.75" hidden="false" customHeight="false" outlineLevel="0" collapsed="false">
      <c r="A380" s="24" t="s">
        <v>235</v>
      </c>
      <c r="B380" s="23" t="n">
        <v>44072</v>
      </c>
      <c r="C380" s="7" t="s">
        <v>125</v>
      </c>
      <c r="D380" s="24" t="s">
        <v>126</v>
      </c>
      <c r="E380" s="24" t="n">
        <v>1</v>
      </c>
      <c r="F380" s="0" t="n">
        <v>0.25</v>
      </c>
    </row>
    <row r="381" customFormat="false" ht="15.75" hidden="false" customHeight="false" outlineLevel="0" collapsed="false">
      <c r="A381" s="24" t="s">
        <v>237</v>
      </c>
      <c r="B381" s="23" t="n">
        <v>44072</v>
      </c>
      <c r="C381" s="7" t="s">
        <v>32</v>
      </c>
      <c r="D381" s="24" t="s">
        <v>33</v>
      </c>
      <c r="E381" s="24" t="n">
        <v>1</v>
      </c>
      <c r="F381" s="0" t="n">
        <v>0.4</v>
      </c>
    </row>
    <row r="382" customFormat="false" ht="15.75" hidden="false" customHeight="false" outlineLevel="0" collapsed="false">
      <c r="A382" s="24" t="s">
        <v>237</v>
      </c>
      <c r="B382" s="23" t="n">
        <v>44072</v>
      </c>
      <c r="C382" s="7" t="s">
        <v>34</v>
      </c>
      <c r="D382" s="24" t="s">
        <v>35</v>
      </c>
      <c r="E382" s="24" t="n">
        <v>1</v>
      </c>
      <c r="F382" s="0" t="n">
        <v>0.6</v>
      </c>
    </row>
    <row r="383" customFormat="false" ht="15.75" hidden="false" customHeight="false" outlineLevel="0" collapsed="false">
      <c r="A383" s="24" t="s">
        <v>177</v>
      </c>
      <c r="B383" s="23" t="n">
        <v>44072</v>
      </c>
      <c r="C383" s="7" t="s">
        <v>75</v>
      </c>
      <c r="D383" s="24" t="s">
        <v>76</v>
      </c>
      <c r="E383" s="24" t="n">
        <v>2</v>
      </c>
      <c r="F383" s="0" t="n">
        <v>0.5</v>
      </c>
    </row>
    <row r="384" customFormat="false" ht="15.75" hidden="false" customHeight="false" outlineLevel="0" collapsed="false">
      <c r="A384" s="24" t="s">
        <v>177</v>
      </c>
      <c r="B384" s="23" t="n">
        <v>44072</v>
      </c>
      <c r="C384" s="7" t="s">
        <v>139</v>
      </c>
      <c r="D384" s="24" t="s">
        <v>140</v>
      </c>
      <c r="E384" s="24" t="n">
        <v>2</v>
      </c>
      <c r="F384" s="0" t="n">
        <v>0.5</v>
      </c>
    </row>
    <row r="385" customFormat="false" ht="15.75" hidden="false" customHeight="false" outlineLevel="0" collapsed="false">
      <c r="A385" s="24" t="s">
        <v>156</v>
      </c>
      <c r="B385" s="23" t="n">
        <v>44074</v>
      </c>
      <c r="C385" s="7" t="s">
        <v>83</v>
      </c>
      <c r="D385" s="24" t="s">
        <v>84</v>
      </c>
      <c r="E385" s="24" t="n">
        <v>13</v>
      </c>
      <c r="F385" s="0" t="n">
        <v>6.5</v>
      </c>
    </row>
    <row r="386" customFormat="false" ht="15.75" hidden="false" customHeight="false" outlineLevel="0" collapsed="false">
      <c r="A386" s="24" t="s">
        <v>156</v>
      </c>
      <c r="B386" s="23" t="n">
        <v>44074</v>
      </c>
      <c r="C386" s="7" t="s">
        <v>117</v>
      </c>
      <c r="D386" s="24" t="s">
        <v>118</v>
      </c>
      <c r="E386" s="24" t="n">
        <v>30</v>
      </c>
      <c r="F386" s="0" t="n">
        <v>6</v>
      </c>
    </row>
    <row r="387" customFormat="false" ht="15.75" hidden="false" customHeight="false" outlineLevel="0" collapsed="false">
      <c r="A387" s="24" t="s">
        <v>156</v>
      </c>
      <c r="B387" s="23" t="n">
        <v>44074</v>
      </c>
      <c r="C387" s="7" t="s">
        <v>121</v>
      </c>
      <c r="D387" s="24" t="s">
        <v>122</v>
      </c>
      <c r="E387" s="24" t="n">
        <v>8</v>
      </c>
      <c r="F387" s="0" t="n">
        <v>4</v>
      </c>
    </row>
    <row r="388" customFormat="false" ht="15.75" hidden="false" customHeight="false" outlineLevel="0" collapsed="false">
      <c r="A388" s="24" t="s">
        <v>156</v>
      </c>
      <c r="B388" s="23" t="n">
        <v>44074</v>
      </c>
      <c r="C388" s="7" t="s">
        <v>69</v>
      </c>
      <c r="D388" s="24" t="s">
        <v>70</v>
      </c>
      <c r="E388" s="24" t="n">
        <v>12</v>
      </c>
      <c r="F388" s="0" t="n">
        <v>3</v>
      </c>
    </row>
    <row r="389" customFormat="false" ht="15.75" hidden="false" customHeight="false" outlineLevel="0" collapsed="false">
      <c r="A389" s="24" t="s">
        <v>156</v>
      </c>
      <c r="B389" s="23" t="n">
        <v>44074</v>
      </c>
      <c r="C389" s="7" t="s">
        <v>125</v>
      </c>
      <c r="D389" s="24" t="s">
        <v>126</v>
      </c>
      <c r="E389" s="24" t="n">
        <v>12</v>
      </c>
      <c r="F389" s="0" t="n">
        <v>3</v>
      </c>
    </row>
    <row r="390" customFormat="false" ht="15.75" hidden="false" customHeight="false" outlineLevel="0" collapsed="false">
      <c r="A390" s="24" t="s">
        <v>156</v>
      </c>
      <c r="B390" s="23" t="n">
        <v>44074</v>
      </c>
      <c r="C390" s="7" t="s">
        <v>26</v>
      </c>
      <c r="D390" s="24" t="s">
        <v>27</v>
      </c>
      <c r="E390" s="24" t="n">
        <v>8</v>
      </c>
      <c r="F390" s="0" t="n">
        <v>2</v>
      </c>
    </row>
    <row r="391" customFormat="false" ht="15.75" hidden="false" customHeight="false" outlineLevel="0" collapsed="false">
      <c r="A391" s="24" t="s">
        <v>156</v>
      </c>
      <c r="B391" s="23" t="n">
        <v>44074</v>
      </c>
      <c r="C391" s="7" t="s">
        <v>75</v>
      </c>
      <c r="D391" s="24" t="s">
        <v>76</v>
      </c>
      <c r="E391" s="24" t="n">
        <v>12</v>
      </c>
      <c r="F391" s="0" t="n">
        <v>3</v>
      </c>
    </row>
    <row r="392" customFormat="false" ht="15.75" hidden="false" customHeight="false" outlineLevel="0" collapsed="false">
      <c r="A392" s="24" t="s">
        <v>156</v>
      </c>
      <c r="B392" s="23" t="n">
        <v>44074</v>
      </c>
      <c r="C392" s="7" t="s">
        <v>97</v>
      </c>
      <c r="D392" s="24" t="s">
        <v>98</v>
      </c>
      <c r="E392" s="24" t="n">
        <v>10</v>
      </c>
      <c r="F392" s="0" t="n">
        <v>2.4</v>
      </c>
    </row>
    <row r="393" customFormat="false" ht="15.75" hidden="false" customHeight="false" outlineLevel="0" collapsed="false">
      <c r="A393" s="24" t="s">
        <v>156</v>
      </c>
      <c r="B393" s="23" t="n">
        <v>44074</v>
      </c>
      <c r="C393" s="7" t="s">
        <v>14</v>
      </c>
      <c r="D393" s="24" t="s">
        <v>15</v>
      </c>
      <c r="E393" s="24" t="n">
        <v>4</v>
      </c>
      <c r="F393" s="0" t="n">
        <v>0.6</v>
      </c>
    </row>
    <row r="394" customFormat="false" ht="15.75" hidden="false" customHeight="false" outlineLevel="0" collapsed="false">
      <c r="A394" s="24" t="s">
        <v>156</v>
      </c>
      <c r="B394" s="23" t="n">
        <v>44074</v>
      </c>
      <c r="C394" s="7" t="s">
        <v>22</v>
      </c>
      <c r="D394" s="24" t="s">
        <v>23</v>
      </c>
      <c r="E394" s="24" t="n">
        <v>6</v>
      </c>
      <c r="F394" s="0" t="n">
        <v>3.6</v>
      </c>
    </row>
    <row r="395" customFormat="false" ht="15.75" hidden="false" customHeight="false" outlineLevel="0" collapsed="false">
      <c r="A395" s="24" t="s">
        <v>238</v>
      </c>
      <c r="B395" s="23" t="n">
        <v>44074</v>
      </c>
      <c r="C395" s="7" t="s">
        <v>22</v>
      </c>
      <c r="D395" s="24" t="s">
        <v>23</v>
      </c>
      <c r="E395" s="24" t="n">
        <v>1</v>
      </c>
      <c r="F395" s="0" t="n">
        <v>0.6</v>
      </c>
    </row>
    <row r="396" customFormat="false" ht="15.75" hidden="false" customHeight="false" outlineLevel="0" collapsed="false">
      <c r="A396" s="24" t="s">
        <v>238</v>
      </c>
      <c r="B396" s="23" t="n">
        <v>44074</v>
      </c>
      <c r="C396" s="7" t="s">
        <v>30</v>
      </c>
      <c r="D396" s="24" t="s">
        <v>31</v>
      </c>
      <c r="E396" s="24" t="n">
        <v>1</v>
      </c>
      <c r="F396" s="0" t="n">
        <v>0.6</v>
      </c>
    </row>
    <row r="397" customFormat="false" ht="15.75" hidden="false" customHeight="false" outlineLevel="0" collapsed="false">
      <c r="A397" s="24" t="s">
        <v>238</v>
      </c>
      <c r="B397" s="23" t="n">
        <v>44074</v>
      </c>
      <c r="C397" s="7" t="s">
        <v>8</v>
      </c>
      <c r="D397" s="24" t="s">
        <v>9</v>
      </c>
      <c r="E397" s="24" t="n">
        <v>1</v>
      </c>
      <c r="F397" s="0" t="n">
        <v>0.32</v>
      </c>
    </row>
    <row r="398" customFormat="false" ht="15.75" hidden="false" customHeight="false" outlineLevel="0" collapsed="false">
      <c r="A398" s="24" t="s">
        <v>238</v>
      </c>
      <c r="B398" s="23" t="n">
        <v>44074</v>
      </c>
      <c r="C398" s="7" t="s">
        <v>117</v>
      </c>
      <c r="D398" s="24" t="s">
        <v>118</v>
      </c>
      <c r="E398" s="24" t="n">
        <v>2</v>
      </c>
      <c r="F398" s="0" t="n">
        <v>0.4</v>
      </c>
    </row>
    <row r="399" customFormat="false" ht="15.75" hidden="false" customHeight="false" outlineLevel="0" collapsed="false">
      <c r="A399" s="24" t="s">
        <v>238</v>
      </c>
      <c r="B399" s="23" t="n">
        <v>44074</v>
      </c>
      <c r="C399" s="7" t="s">
        <v>47</v>
      </c>
      <c r="D399" s="24" t="s">
        <v>48</v>
      </c>
      <c r="E399" s="24" t="n">
        <v>2</v>
      </c>
      <c r="F399" s="0" t="n">
        <v>0.48</v>
      </c>
    </row>
    <row r="400" customFormat="false" ht="15.75" hidden="false" customHeight="false" outlineLevel="0" collapsed="false">
      <c r="A400" s="24" t="s">
        <v>240</v>
      </c>
      <c r="B400" s="23" t="n">
        <v>44074</v>
      </c>
      <c r="C400" s="7" t="s">
        <v>143</v>
      </c>
      <c r="D400" s="24" t="s">
        <v>144</v>
      </c>
      <c r="E400" s="24" t="n">
        <v>5.59</v>
      </c>
      <c r="F400" s="0" t="n">
        <v>5.59</v>
      </c>
    </row>
  </sheetData>
  <autoFilter ref="A3:F400"/>
  <conditionalFormatting sqref="C7 C9:C12 C17 C47">
    <cfRule type="expression" priority="2" aboveAverage="0" equalAverage="0" bottom="0" percent="0" rank="0" text="" dxfId="429">
      <formula>#ref!&lt;=0</formula>
    </cfRule>
  </conditionalFormatting>
  <conditionalFormatting sqref="C135">
    <cfRule type="expression" priority="3" aboveAverage="0" equalAverage="0" bottom="0" percent="0" rank="0" text="" dxfId="430">
      <formula>$F135&lt;=0</formula>
    </cfRule>
  </conditionalFormatting>
  <conditionalFormatting sqref="C4">
    <cfRule type="expression" priority="4" aboveAverage="0" equalAverage="0" bottom="0" percent="0" rank="0" text="" dxfId="431">
      <formula>$F4&lt;=0</formula>
    </cfRule>
  </conditionalFormatting>
  <conditionalFormatting sqref="C5">
    <cfRule type="expression" priority="5" aboveAverage="0" equalAverage="0" bottom="0" percent="0" rank="0" text="" dxfId="432">
      <formula>$F5&lt;=0</formula>
    </cfRule>
  </conditionalFormatting>
  <conditionalFormatting sqref="C6">
    <cfRule type="expression" priority="6" aboveAverage="0" equalAverage="0" bottom="0" percent="0" rank="0" text="" dxfId="433">
      <formula>$F6&lt;=0</formula>
    </cfRule>
  </conditionalFormatting>
  <conditionalFormatting sqref="C8">
    <cfRule type="expression" priority="7" aboveAverage="0" equalAverage="0" bottom="0" percent="0" rank="0" text="" dxfId="434">
      <formula>$F8&lt;=0</formula>
    </cfRule>
  </conditionalFormatting>
  <conditionalFormatting sqref="C13">
    <cfRule type="expression" priority="8" aboveAverage="0" equalAverage="0" bottom="0" percent="0" rank="0" text="" dxfId="435">
      <formula>$F13&lt;=0</formula>
    </cfRule>
  </conditionalFormatting>
  <conditionalFormatting sqref="C14">
    <cfRule type="expression" priority="9" aboveAverage="0" equalAverage="0" bottom="0" percent="0" rank="0" text="" dxfId="436">
      <formula>$F14&lt;=0</formula>
    </cfRule>
  </conditionalFormatting>
  <conditionalFormatting sqref="C15">
    <cfRule type="expression" priority="10" aboveAverage="0" equalAverage="0" bottom="0" percent="0" rank="0" text="" dxfId="437">
      <formula>$F15&lt;=0</formula>
    </cfRule>
  </conditionalFormatting>
  <conditionalFormatting sqref="C16">
    <cfRule type="expression" priority="11" aboveAverage="0" equalAverage="0" bottom="0" percent="0" rank="0" text="" dxfId="438">
      <formula>$F16&lt;=0</formula>
    </cfRule>
  </conditionalFormatting>
  <conditionalFormatting sqref="C18">
    <cfRule type="expression" priority="12" aboveAverage="0" equalAverage="0" bottom="0" percent="0" rank="0" text="" dxfId="439">
      <formula>$F18&lt;=0</formula>
    </cfRule>
  </conditionalFormatting>
  <conditionalFormatting sqref="C20">
    <cfRule type="expression" priority="13" aboveAverage="0" equalAverage="0" bottom="0" percent="0" rank="0" text="" dxfId="440">
      <formula>$F20&lt;=0</formula>
    </cfRule>
  </conditionalFormatting>
  <conditionalFormatting sqref="C19">
    <cfRule type="expression" priority="14" aboveAverage="0" equalAverage="0" bottom="0" percent="0" rank="0" text="" dxfId="441">
      <formula>$F19&lt;=0</formula>
    </cfRule>
  </conditionalFormatting>
  <conditionalFormatting sqref="C21">
    <cfRule type="expression" priority="15" aboveAverage="0" equalAverage="0" bottom="0" percent="0" rank="0" text="" dxfId="442">
      <formula>$F21&lt;=0</formula>
    </cfRule>
  </conditionalFormatting>
  <conditionalFormatting sqref="C22">
    <cfRule type="expression" priority="16" aboveAverage="0" equalAverage="0" bottom="0" percent="0" rank="0" text="" dxfId="443">
      <formula>$F22&lt;=0</formula>
    </cfRule>
  </conditionalFormatting>
  <conditionalFormatting sqref="C23">
    <cfRule type="expression" priority="17" aboveAverage="0" equalAverage="0" bottom="0" percent="0" rank="0" text="" dxfId="444">
      <formula>$F23&lt;=0</formula>
    </cfRule>
  </conditionalFormatting>
  <conditionalFormatting sqref="C24">
    <cfRule type="expression" priority="18" aboveAverage="0" equalAverage="0" bottom="0" percent="0" rank="0" text="" dxfId="445">
      <formula>$F24&lt;=0</formula>
    </cfRule>
  </conditionalFormatting>
  <conditionalFormatting sqref="C25">
    <cfRule type="expression" priority="19" aboveAverage="0" equalAverage="0" bottom="0" percent="0" rank="0" text="" dxfId="446">
      <formula>$F25&lt;=0</formula>
    </cfRule>
  </conditionalFormatting>
  <conditionalFormatting sqref="C26:C27">
    <cfRule type="expression" priority="20" aboveAverage="0" equalAverage="0" bottom="0" percent="0" rank="0" text="" dxfId="447">
      <formula>$F26&lt;=0</formula>
    </cfRule>
  </conditionalFormatting>
  <conditionalFormatting sqref="C28">
    <cfRule type="expression" priority="21" aboveAverage="0" equalAverage="0" bottom="0" percent="0" rank="0" text="" dxfId="448">
      <formula>$F28&lt;=0</formula>
    </cfRule>
  </conditionalFormatting>
  <conditionalFormatting sqref="C29">
    <cfRule type="expression" priority="22" aboveAverage="0" equalAverage="0" bottom="0" percent="0" rank="0" text="" dxfId="449">
      <formula>$F29&lt;=0</formula>
    </cfRule>
  </conditionalFormatting>
  <conditionalFormatting sqref="C30">
    <cfRule type="expression" priority="23" aboveAverage="0" equalAverage="0" bottom="0" percent="0" rank="0" text="" dxfId="450">
      <formula>$F30&lt;=0</formula>
    </cfRule>
  </conditionalFormatting>
  <conditionalFormatting sqref="C31">
    <cfRule type="expression" priority="24" aboveAverage="0" equalAverage="0" bottom="0" percent="0" rank="0" text="" dxfId="451">
      <formula>$F31&lt;=0</formula>
    </cfRule>
  </conditionalFormatting>
  <conditionalFormatting sqref="C32">
    <cfRule type="expression" priority="25" aboveAverage="0" equalAverage="0" bottom="0" percent="0" rank="0" text="" dxfId="452">
      <formula>$F32&lt;=0</formula>
    </cfRule>
  </conditionalFormatting>
  <conditionalFormatting sqref="C33">
    <cfRule type="expression" priority="26" aboveAverage="0" equalAverage="0" bottom="0" percent="0" rank="0" text="" dxfId="453">
      <formula>$F33&lt;=0</formula>
    </cfRule>
  </conditionalFormatting>
  <conditionalFormatting sqref="C37">
    <cfRule type="expression" priority="27" aboveAverage="0" equalAverage="0" bottom="0" percent="0" rank="0" text="" dxfId="454">
      <formula>$F37&lt;=0</formula>
    </cfRule>
  </conditionalFormatting>
  <conditionalFormatting sqref="C35">
    <cfRule type="expression" priority="28" aboveAverage="0" equalAverage="0" bottom="0" percent="0" rank="0" text="" dxfId="455">
      <formula>$F35&lt;=0</formula>
    </cfRule>
  </conditionalFormatting>
  <conditionalFormatting sqref="C36">
    <cfRule type="expression" priority="29" aboveAverage="0" equalAverage="0" bottom="0" percent="0" rank="0" text="" dxfId="456">
      <formula>$F36&lt;=0</formula>
    </cfRule>
  </conditionalFormatting>
  <conditionalFormatting sqref="C38">
    <cfRule type="expression" priority="30" aboveAverage="0" equalAverage="0" bottom="0" percent="0" rank="0" text="" dxfId="457">
      <formula>$F38&lt;=0</formula>
    </cfRule>
  </conditionalFormatting>
  <conditionalFormatting sqref="C39">
    <cfRule type="expression" priority="31" aboveAverage="0" equalAverage="0" bottom="0" percent="0" rank="0" text="" dxfId="458">
      <formula>$F39&lt;=0</formula>
    </cfRule>
  </conditionalFormatting>
  <conditionalFormatting sqref="C40">
    <cfRule type="expression" priority="32" aboveAverage="0" equalAverage="0" bottom="0" percent="0" rank="0" text="" dxfId="459">
      <formula>$F40&lt;=0</formula>
    </cfRule>
  </conditionalFormatting>
  <conditionalFormatting sqref="C41">
    <cfRule type="expression" priority="33" aboveAverage="0" equalAverage="0" bottom="0" percent="0" rank="0" text="" dxfId="460">
      <formula>$F41&lt;=0</formula>
    </cfRule>
  </conditionalFormatting>
  <conditionalFormatting sqref="C42">
    <cfRule type="expression" priority="34" aboveAverage="0" equalAverage="0" bottom="0" percent="0" rank="0" text="" dxfId="461">
      <formula>$F42&lt;=0</formula>
    </cfRule>
  </conditionalFormatting>
  <conditionalFormatting sqref="C43">
    <cfRule type="expression" priority="35" aboveAverage="0" equalAverage="0" bottom="0" percent="0" rank="0" text="" dxfId="462">
      <formula>$F43&lt;=0</formula>
    </cfRule>
  </conditionalFormatting>
  <conditionalFormatting sqref="C44">
    <cfRule type="expression" priority="36" aboveAverage="0" equalAverage="0" bottom="0" percent="0" rank="0" text="" dxfId="463">
      <formula>$F44&lt;=0</formula>
    </cfRule>
  </conditionalFormatting>
  <conditionalFormatting sqref="C45">
    <cfRule type="expression" priority="37" aboveAverage="0" equalAverage="0" bottom="0" percent="0" rank="0" text="" dxfId="464">
      <formula>$F45&lt;=0</formula>
    </cfRule>
  </conditionalFormatting>
  <conditionalFormatting sqref="C46">
    <cfRule type="expression" priority="38" aboveAverage="0" equalAverage="0" bottom="0" percent="0" rank="0" text="" dxfId="465">
      <formula>$F46&lt;=0</formula>
    </cfRule>
  </conditionalFormatting>
  <conditionalFormatting sqref="C48">
    <cfRule type="expression" priority="39" aboveAverage="0" equalAverage="0" bottom="0" percent="0" rank="0" text="" dxfId="466">
      <formula>$F48&lt;=0</formula>
    </cfRule>
  </conditionalFormatting>
  <conditionalFormatting sqref="C34">
    <cfRule type="expression" priority="40" aboveAverage="0" equalAverage="0" bottom="0" percent="0" rank="0" text="" dxfId="467">
      <formula>$F44&lt;=0</formula>
    </cfRule>
  </conditionalFormatting>
  <conditionalFormatting sqref="C49">
    <cfRule type="expression" priority="41" aboveAverage="0" equalAverage="0" bottom="0" percent="0" rank="0" text="" dxfId="468">
      <formula>$F49&lt;=0</formula>
    </cfRule>
  </conditionalFormatting>
  <conditionalFormatting sqref="C50">
    <cfRule type="expression" priority="42" aboveAverage="0" equalAverage="0" bottom="0" percent="0" rank="0" text="" dxfId="469">
      <formula>$F50&lt;=0</formula>
    </cfRule>
  </conditionalFormatting>
  <conditionalFormatting sqref="C51:C52">
    <cfRule type="expression" priority="43" aboveAverage="0" equalAverage="0" bottom="0" percent="0" rank="0" text="" dxfId="470">
      <formula>$F51&lt;=0</formula>
    </cfRule>
  </conditionalFormatting>
  <conditionalFormatting sqref="C53">
    <cfRule type="expression" priority="44" aboveAverage="0" equalAverage="0" bottom="0" percent="0" rank="0" text="" dxfId="471">
      <formula>$F53&lt;=0</formula>
    </cfRule>
  </conditionalFormatting>
  <conditionalFormatting sqref="C54">
    <cfRule type="expression" priority="45" aboveAverage="0" equalAverage="0" bottom="0" percent="0" rank="0" text="" dxfId="472">
      <formula>$F54&lt;=0</formula>
    </cfRule>
  </conditionalFormatting>
  <conditionalFormatting sqref="C55">
    <cfRule type="expression" priority="46" aboveAverage="0" equalAverage="0" bottom="0" percent="0" rank="0" text="" dxfId="473">
      <formula>$F55&lt;=0</formula>
    </cfRule>
  </conditionalFormatting>
  <conditionalFormatting sqref="C56">
    <cfRule type="expression" priority="47" aboveAverage="0" equalAverage="0" bottom="0" percent="0" rank="0" text="" dxfId="474">
      <formula>$F56&lt;=0</formula>
    </cfRule>
  </conditionalFormatting>
  <conditionalFormatting sqref="C57">
    <cfRule type="expression" priority="48" aboveAverage="0" equalAverage="0" bottom="0" percent="0" rank="0" text="" dxfId="475">
      <formula>$F57&lt;=0</formula>
    </cfRule>
  </conditionalFormatting>
  <conditionalFormatting sqref="C58">
    <cfRule type="expression" priority="49" aboveAverage="0" equalAverage="0" bottom="0" percent="0" rank="0" text="" dxfId="476">
      <formula>$F58&lt;=0</formula>
    </cfRule>
  </conditionalFormatting>
  <conditionalFormatting sqref="C59">
    <cfRule type="expression" priority="50" aboveAverage="0" equalAverage="0" bottom="0" percent="0" rank="0" text="" dxfId="477">
      <formula>$F59&lt;=0</formula>
    </cfRule>
  </conditionalFormatting>
  <conditionalFormatting sqref="C60">
    <cfRule type="expression" priority="51" aboveAverage="0" equalAverage="0" bottom="0" percent="0" rank="0" text="" dxfId="478">
      <formula>$F60&lt;=0</formula>
    </cfRule>
  </conditionalFormatting>
  <conditionalFormatting sqref="C61">
    <cfRule type="expression" priority="52" aboveAverage="0" equalAverage="0" bottom="0" percent="0" rank="0" text="" dxfId="479">
      <formula>$F61&lt;=0</formula>
    </cfRule>
  </conditionalFormatting>
  <conditionalFormatting sqref="C62">
    <cfRule type="expression" priority="53" aboveAverage="0" equalAverage="0" bottom="0" percent="0" rank="0" text="" dxfId="480">
      <formula>$F62&lt;=0</formula>
    </cfRule>
  </conditionalFormatting>
  <conditionalFormatting sqref="C63">
    <cfRule type="expression" priority="54" aboveAverage="0" equalAverage="0" bottom="0" percent="0" rank="0" text="" dxfId="481">
      <formula>$F63&lt;=0</formula>
    </cfRule>
  </conditionalFormatting>
  <conditionalFormatting sqref="C64">
    <cfRule type="expression" priority="55" aboveAverage="0" equalAverage="0" bottom="0" percent="0" rank="0" text="" dxfId="482">
      <formula>$F64&lt;=0</formula>
    </cfRule>
  </conditionalFormatting>
  <conditionalFormatting sqref="C65">
    <cfRule type="expression" priority="56" aboveAverage="0" equalAverage="0" bottom="0" percent="0" rank="0" text="" dxfId="483">
      <formula>$F65&lt;=0</formula>
    </cfRule>
  </conditionalFormatting>
  <conditionalFormatting sqref="C66">
    <cfRule type="expression" priority="57" aboveAverage="0" equalAverage="0" bottom="0" percent="0" rank="0" text="" dxfId="484">
      <formula>$F66&lt;=0</formula>
    </cfRule>
  </conditionalFormatting>
  <conditionalFormatting sqref="C67">
    <cfRule type="expression" priority="58" aboveAverage="0" equalAverage="0" bottom="0" percent="0" rank="0" text="" dxfId="485">
      <formula>$F67&lt;=0</formula>
    </cfRule>
  </conditionalFormatting>
  <conditionalFormatting sqref="C68">
    <cfRule type="expression" priority="59" aboveAverage="0" equalAverage="0" bottom="0" percent="0" rank="0" text="" dxfId="486">
      <formula>$F68&lt;=0</formula>
    </cfRule>
  </conditionalFormatting>
  <conditionalFormatting sqref="C69">
    <cfRule type="expression" priority="60" aboveAverage="0" equalAverage="0" bottom="0" percent="0" rank="0" text="" dxfId="487">
      <formula>$F69&lt;=0</formula>
    </cfRule>
  </conditionalFormatting>
  <conditionalFormatting sqref="C70">
    <cfRule type="expression" priority="61" aboveAverage="0" equalAverage="0" bottom="0" percent="0" rank="0" text="" dxfId="488">
      <formula>$F70&lt;=0</formula>
    </cfRule>
  </conditionalFormatting>
  <conditionalFormatting sqref="C71">
    <cfRule type="expression" priority="62" aboveAverage="0" equalAverage="0" bottom="0" percent="0" rank="0" text="" dxfId="489">
      <formula>$F71&lt;=0</formula>
    </cfRule>
  </conditionalFormatting>
  <conditionalFormatting sqref="C72">
    <cfRule type="expression" priority="63" aboveAverage="0" equalAverage="0" bottom="0" percent="0" rank="0" text="" dxfId="490">
      <formula>$F72&lt;=0</formula>
    </cfRule>
  </conditionalFormatting>
  <conditionalFormatting sqref="C73">
    <cfRule type="expression" priority="64" aboveAverage="0" equalAverage="0" bottom="0" percent="0" rank="0" text="" dxfId="491">
      <formula>$F73&lt;=0</formula>
    </cfRule>
  </conditionalFormatting>
  <conditionalFormatting sqref="C74">
    <cfRule type="expression" priority="65" aboveAverage="0" equalAverage="0" bottom="0" percent="0" rank="0" text="" dxfId="492">
      <formula>$F74&lt;=0</formula>
    </cfRule>
  </conditionalFormatting>
  <conditionalFormatting sqref="C75">
    <cfRule type="expression" priority="66" aboveAverage="0" equalAverage="0" bottom="0" percent="0" rank="0" text="" dxfId="493">
      <formula>$F75&lt;=0</formula>
    </cfRule>
  </conditionalFormatting>
  <conditionalFormatting sqref="C76">
    <cfRule type="expression" priority="67" aboveAverage="0" equalAverage="0" bottom="0" percent="0" rank="0" text="" dxfId="494">
      <formula>$F76&lt;=0</formula>
    </cfRule>
  </conditionalFormatting>
  <conditionalFormatting sqref="C78">
    <cfRule type="expression" priority="68" aboveAverage="0" equalAverage="0" bottom="0" percent="0" rank="0" text="" dxfId="495">
      <formula>$F78&lt;=0</formula>
    </cfRule>
  </conditionalFormatting>
  <conditionalFormatting sqref="C139">
    <cfRule type="expression" priority="69" aboveAverage="0" equalAverage="0" bottom="0" percent="0" rank="0" text="" dxfId="496">
      <formula>$F139&lt;=0</formula>
    </cfRule>
  </conditionalFormatting>
  <conditionalFormatting sqref="C79">
    <cfRule type="expression" priority="70" aboveAverage="0" equalAverage="0" bottom="0" percent="0" rank="0" text="" dxfId="497">
      <formula>$F79&lt;=0</formula>
    </cfRule>
  </conditionalFormatting>
  <conditionalFormatting sqref="C80">
    <cfRule type="expression" priority="71" aboveAverage="0" equalAverage="0" bottom="0" percent="0" rank="0" text="" dxfId="498">
      <formula>$F80&lt;=0</formula>
    </cfRule>
  </conditionalFormatting>
  <conditionalFormatting sqref="C81">
    <cfRule type="expression" priority="72" aboveAverage="0" equalAverage="0" bottom="0" percent="0" rank="0" text="" dxfId="499">
      <formula>$F81&lt;=0</formula>
    </cfRule>
  </conditionalFormatting>
  <conditionalFormatting sqref="C82">
    <cfRule type="expression" priority="73" aboveAverage="0" equalAverage="0" bottom="0" percent="0" rank="0" text="" dxfId="500">
      <formula>$F82&lt;=0</formula>
    </cfRule>
  </conditionalFormatting>
  <conditionalFormatting sqref="C83">
    <cfRule type="expression" priority="74" aboveAverage="0" equalAverage="0" bottom="0" percent="0" rank="0" text="" dxfId="501">
      <formula>$F83&lt;=0</formula>
    </cfRule>
  </conditionalFormatting>
  <conditionalFormatting sqref="C85">
    <cfRule type="expression" priority="75" aboveAverage="0" equalAverage="0" bottom="0" percent="0" rank="0" text="" dxfId="502">
      <formula>$F85&lt;=0</formula>
    </cfRule>
  </conditionalFormatting>
  <conditionalFormatting sqref="C84">
    <cfRule type="expression" priority="76" aboveAverage="0" equalAverage="0" bottom="0" percent="0" rank="0" text="" dxfId="503">
      <formula>$F84&lt;=0</formula>
    </cfRule>
  </conditionalFormatting>
  <conditionalFormatting sqref="C86">
    <cfRule type="expression" priority="77" aboveAverage="0" equalAverage="0" bottom="0" percent="0" rank="0" text="" dxfId="504">
      <formula>$F86&lt;=0</formula>
    </cfRule>
  </conditionalFormatting>
  <conditionalFormatting sqref="C87">
    <cfRule type="expression" priority="78" aboveAverage="0" equalAverage="0" bottom="0" percent="0" rank="0" text="" dxfId="505">
      <formula>$F87&lt;=0</formula>
    </cfRule>
  </conditionalFormatting>
  <conditionalFormatting sqref="C88">
    <cfRule type="expression" priority="79" aboveAverage="0" equalAverage="0" bottom="0" percent="0" rank="0" text="" dxfId="506">
      <formula>$F88&lt;=0</formula>
    </cfRule>
  </conditionalFormatting>
  <conditionalFormatting sqref="C89">
    <cfRule type="expression" priority="80" aboveAverage="0" equalAverage="0" bottom="0" percent="0" rank="0" text="" dxfId="507">
      <formula>$F89&lt;=0</formula>
    </cfRule>
  </conditionalFormatting>
  <conditionalFormatting sqref="C90">
    <cfRule type="expression" priority="81" aboveAverage="0" equalAverage="0" bottom="0" percent="0" rank="0" text="" dxfId="508">
      <formula>$F90&lt;=0</formula>
    </cfRule>
  </conditionalFormatting>
  <conditionalFormatting sqref="C91">
    <cfRule type="expression" priority="82" aboveAverage="0" equalAverage="0" bottom="0" percent="0" rank="0" text="" dxfId="509">
      <formula>$F91&lt;=0</formula>
    </cfRule>
  </conditionalFormatting>
  <conditionalFormatting sqref="C92">
    <cfRule type="expression" priority="83" aboveAverage="0" equalAverage="0" bottom="0" percent="0" rank="0" text="" dxfId="510">
      <formula>$F92&lt;=0</formula>
    </cfRule>
  </conditionalFormatting>
  <conditionalFormatting sqref="C93">
    <cfRule type="expression" priority="84" aboveAverage="0" equalAverage="0" bottom="0" percent="0" rank="0" text="" dxfId="511">
      <formula>$F93&lt;=0</formula>
    </cfRule>
  </conditionalFormatting>
  <conditionalFormatting sqref="C94">
    <cfRule type="expression" priority="85" aboveAverage="0" equalAverage="0" bottom="0" percent="0" rank="0" text="" dxfId="512">
      <formula>$F94&lt;=0</formula>
    </cfRule>
  </conditionalFormatting>
  <conditionalFormatting sqref="C95">
    <cfRule type="expression" priority="86" aboveAverage="0" equalAverage="0" bottom="0" percent="0" rank="0" text="" dxfId="513">
      <formula>$F95&lt;=0</formula>
    </cfRule>
  </conditionalFormatting>
  <conditionalFormatting sqref="C96">
    <cfRule type="expression" priority="87" aboveAverage="0" equalAverage="0" bottom="0" percent="0" rank="0" text="" dxfId="514">
      <formula>$F96&lt;=0</formula>
    </cfRule>
  </conditionalFormatting>
  <conditionalFormatting sqref="C97">
    <cfRule type="expression" priority="88" aboveAverage="0" equalAverage="0" bottom="0" percent="0" rank="0" text="" dxfId="515">
      <formula>$F97&lt;=0</formula>
    </cfRule>
  </conditionalFormatting>
  <conditionalFormatting sqref="C98">
    <cfRule type="expression" priority="89" aboveAverage="0" equalAverage="0" bottom="0" percent="0" rank="0" text="" dxfId="516">
      <formula>$F98&lt;=0</formula>
    </cfRule>
  </conditionalFormatting>
  <conditionalFormatting sqref="C99">
    <cfRule type="expression" priority="90" aboveAverage="0" equalAverage="0" bottom="0" percent="0" rank="0" text="" dxfId="517">
      <formula>$F99&lt;=0</formula>
    </cfRule>
  </conditionalFormatting>
  <conditionalFormatting sqref="C100">
    <cfRule type="expression" priority="91" aboveAverage="0" equalAverage="0" bottom="0" percent="0" rank="0" text="" dxfId="518">
      <formula>$F100&lt;=0</formula>
    </cfRule>
  </conditionalFormatting>
  <conditionalFormatting sqref="C101">
    <cfRule type="expression" priority="92" aboveAverage="0" equalAverage="0" bottom="0" percent="0" rank="0" text="" dxfId="519">
      <formula>$F101&lt;=0</formula>
    </cfRule>
  </conditionalFormatting>
  <conditionalFormatting sqref="C102">
    <cfRule type="expression" priority="93" aboveAverage="0" equalAverage="0" bottom="0" percent="0" rank="0" text="" dxfId="520">
      <formula>$F102&lt;=0</formula>
    </cfRule>
  </conditionalFormatting>
  <conditionalFormatting sqref="C103">
    <cfRule type="expression" priority="94" aboveAverage="0" equalAverage="0" bottom="0" percent="0" rank="0" text="" dxfId="521">
      <formula>$F103&lt;=0</formula>
    </cfRule>
  </conditionalFormatting>
  <conditionalFormatting sqref="C104">
    <cfRule type="expression" priority="95" aboveAverage="0" equalAverage="0" bottom="0" percent="0" rank="0" text="" dxfId="522">
      <formula>$F104&lt;=0</formula>
    </cfRule>
  </conditionalFormatting>
  <conditionalFormatting sqref="C105">
    <cfRule type="expression" priority="96" aboveAverage="0" equalAverage="0" bottom="0" percent="0" rank="0" text="" dxfId="523">
      <formula>$F105&lt;=0</formula>
    </cfRule>
  </conditionalFormatting>
  <conditionalFormatting sqref="C106">
    <cfRule type="expression" priority="97" aboveAverage="0" equalAverage="0" bottom="0" percent="0" rank="0" text="" dxfId="524">
      <formula>$F106&lt;=0</formula>
    </cfRule>
  </conditionalFormatting>
  <conditionalFormatting sqref="C107">
    <cfRule type="expression" priority="98" aboveAverage="0" equalAverage="0" bottom="0" percent="0" rank="0" text="" dxfId="525">
      <formula>$F107&lt;=0</formula>
    </cfRule>
  </conditionalFormatting>
  <conditionalFormatting sqref="C108">
    <cfRule type="expression" priority="99" aboveAverage="0" equalAverage="0" bottom="0" percent="0" rank="0" text="" dxfId="526">
      <formula>$F108&lt;=0</formula>
    </cfRule>
  </conditionalFormatting>
  <conditionalFormatting sqref="C109">
    <cfRule type="expression" priority="100" aboveAverage="0" equalAverage="0" bottom="0" percent="0" rank="0" text="" dxfId="527">
      <formula>$F109&lt;=0</formula>
    </cfRule>
  </conditionalFormatting>
  <conditionalFormatting sqref="C110">
    <cfRule type="expression" priority="101" aboveAverage="0" equalAverage="0" bottom="0" percent="0" rank="0" text="" dxfId="528">
      <formula>$F110&lt;=0</formula>
    </cfRule>
  </conditionalFormatting>
  <conditionalFormatting sqref="C111">
    <cfRule type="expression" priority="102" aboveAverage="0" equalAverage="0" bottom="0" percent="0" rank="0" text="" dxfId="529">
      <formula>$F111&lt;=0</formula>
    </cfRule>
  </conditionalFormatting>
  <conditionalFormatting sqref="C112">
    <cfRule type="expression" priority="103" aboveAverage="0" equalAverage="0" bottom="0" percent="0" rank="0" text="" dxfId="530">
      <formula>$F112&lt;=0</formula>
    </cfRule>
  </conditionalFormatting>
  <conditionalFormatting sqref="C113">
    <cfRule type="expression" priority="104" aboveAverage="0" equalAverage="0" bottom="0" percent="0" rank="0" text="" dxfId="531">
      <formula>$F113&lt;=0</formula>
    </cfRule>
  </conditionalFormatting>
  <conditionalFormatting sqref="C114">
    <cfRule type="expression" priority="105" aboveAverage="0" equalAverage="0" bottom="0" percent="0" rank="0" text="" dxfId="532">
      <formula>$F114&lt;=0</formula>
    </cfRule>
  </conditionalFormatting>
  <conditionalFormatting sqref="C115">
    <cfRule type="expression" priority="106" aboveAverage="0" equalAverage="0" bottom="0" percent="0" rank="0" text="" dxfId="533">
      <formula>$F115&lt;=0</formula>
    </cfRule>
  </conditionalFormatting>
  <conditionalFormatting sqref="C116">
    <cfRule type="expression" priority="107" aboveAverage="0" equalAverage="0" bottom="0" percent="0" rank="0" text="" dxfId="534">
      <formula>$F116&lt;=0</formula>
    </cfRule>
  </conditionalFormatting>
  <conditionalFormatting sqref="C117">
    <cfRule type="expression" priority="108" aboveAverage="0" equalAverage="0" bottom="0" percent="0" rank="0" text="" dxfId="535">
      <formula>$F117&lt;=0</formula>
    </cfRule>
  </conditionalFormatting>
  <conditionalFormatting sqref="C118">
    <cfRule type="expression" priority="109" aboveAverage="0" equalAverage="0" bottom="0" percent="0" rank="0" text="" dxfId="536">
      <formula>$F118&lt;=0</formula>
    </cfRule>
  </conditionalFormatting>
  <conditionalFormatting sqref="C119">
    <cfRule type="expression" priority="110" aboveAverage="0" equalAverage="0" bottom="0" percent="0" rank="0" text="" dxfId="537">
      <formula>$F119&lt;=0</formula>
    </cfRule>
  </conditionalFormatting>
  <conditionalFormatting sqref="C120">
    <cfRule type="expression" priority="111" aboveAverage="0" equalAverage="0" bottom="0" percent="0" rank="0" text="" dxfId="538">
      <formula>$F120&lt;=0</formula>
    </cfRule>
  </conditionalFormatting>
  <conditionalFormatting sqref="C121">
    <cfRule type="expression" priority="112" aboveAverage="0" equalAverage="0" bottom="0" percent="0" rank="0" text="" dxfId="539">
      <formula>$F121&lt;=0</formula>
    </cfRule>
  </conditionalFormatting>
  <conditionalFormatting sqref="C122">
    <cfRule type="expression" priority="113" aboveAverage="0" equalAverage="0" bottom="0" percent="0" rank="0" text="" dxfId="540">
      <formula>$F122&lt;=0</formula>
    </cfRule>
  </conditionalFormatting>
  <conditionalFormatting sqref="C123:C124">
    <cfRule type="expression" priority="114" aboveAverage="0" equalAverage="0" bottom="0" percent="0" rank="0" text="" dxfId="541">
      <formula>$F123&lt;=0</formula>
    </cfRule>
  </conditionalFormatting>
  <conditionalFormatting sqref="C125">
    <cfRule type="expression" priority="115" aboveAverage="0" equalAverage="0" bottom="0" percent="0" rank="0" text="" dxfId="542">
      <formula>$F125&lt;=0</formula>
    </cfRule>
  </conditionalFormatting>
  <conditionalFormatting sqref="C126">
    <cfRule type="expression" priority="116" aboveAverage="0" equalAverage="0" bottom="0" percent="0" rank="0" text="" dxfId="543">
      <formula>$F126&lt;=0</formula>
    </cfRule>
  </conditionalFormatting>
  <conditionalFormatting sqref="C127">
    <cfRule type="expression" priority="117" aboveAverage="0" equalAverage="0" bottom="0" percent="0" rank="0" text="" dxfId="544">
      <formula>$F127&lt;=0</formula>
    </cfRule>
  </conditionalFormatting>
  <conditionalFormatting sqref="C128">
    <cfRule type="expression" priority="118" aboveAverage="0" equalAverage="0" bottom="0" percent="0" rank="0" text="" dxfId="545">
      <formula>$F128&lt;=0</formula>
    </cfRule>
  </conditionalFormatting>
  <conditionalFormatting sqref="C129">
    <cfRule type="expression" priority="119" aboveAverage="0" equalAverage="0" bottom="0" percent="0" rank="0" text="" dxfId="546">
      <formula>$F129&lt;=0</formula>
    </cfRule>
  </conditionalFormatting>
  <conditionalFormatting sqref="C130">
    <cfRule type="expression" priority="120" aboveAverage="0" equalAverage="0" bottom="0" percent="0" rank="0" text="" dxfId="547">
      <formula>$F130&lt;=0</formula>
    </cfRule>
  </conditionalFormatting>
  <conditionalFormatting sqref="C131">
    <cfRule type="expression" priority="121" aboveAverage="0" equalAverage="0" bottom="0" percent="0" rank="0" text="" dxfId="548">
      <formula>$F131&lt;=0</formula>
    </cfRule>
  </conditionalFormatting>
  <conditionalFormatting sqref="C132">
    <cfRule type="expression" priority="122" aboveAverage="0" equalAverage="0" bottom="0" percent="0" rank="0" text="" dxfId="549">
      <formula>$F132&lt;=0</formula>
    </cfRule>
  </conditionalFormatting>
  <conditionalFormatting sqref="C136">
    <cfRule type="expression" priority="123" aboveAverage="0" equalAverage="0" bottom="0" percent="0" rank="0" text="" dxfId="550">
      <formula>$F136&lt;=0</formula>
    </cfRule>
  </conditionalFormatting>
  <conditionalFormatting sqref="C133:C134">
    <cfRule type="expression" priority="124" aboveAverage="0" equalAverage="0" bottom="0" percent="0" rank="0" text="" dxfId="551">
      <formula>$F133&lt;=0</formula>
    </cfRule>
  </conditionalFormatting>
  <conditionalFormatting sqref="C137">
    <cfRule type="expression" priority="125" aboveAverage="0" equalAverage="0" bottom="0" percent="0" rank="0" text="" dxfId="552">
      <formula>$F137&lt;=0</formula>
    </cfRule>
  </conditionalFormatting>
  <conditionalFormatting sqref="C138">
    <cfRule type="expression" priority="126" aboveAverage="0" equalAverage="0" bottom="0" percent="0" rank="0" text="" dxfId="553">
      <formula>$F138&lt;=0</formula>
    </cfRule>
  </conditionalFormatting>
  <conditionalFormatting sqref="C140">
    <cfRule type="expression" priority="127" aboveAverage="0" equalAverage="0" bottom="0" percent="0" rank="0" text="" dxfId="554">
      <formula>$F140&lt;=0</formula>
    </cfRule>
  </conditionalFormatting>
  <conditionalFormatting sqref="C141">
    <cfRule type="expression" priority="128" aboveAverage="0" equalAverage="0" bottom="0" percent="0" rank="0" text="" dxfId="555">
      <formula>$F141&lt;=0</formula>
    </cfRule>
  </conditionalFormatting>
  <conditionalFormatting sqref="C142:C143">
    <cfRule type="expression" priority="129" aboveAverage="0" equalAverage="0" bottom="0" percent="0" rank="0" text="" dxfId="556">
      <formula>$F142&lt;=0</formula>
    </cfRule>
  </conditionalFormatting>
  <conditionalFormatting sqref="C144:C145">
    <cfRule type="expression" priority="130" aboveAverage="0" equalAverage="0" bottom="0" percent="0" rank="0" text="" dxfId="557">
      <formula>$F144&lt;=0</formula>
    </cfRule>
  </conditionalFormatting>
  <conditionalFormatting sqref="C146">
    <cfRule type="expression" priority="131" aboveAverage="0" equalAverage="0" bottom="0" percent="0" rank="0" text="" dxfId="558">
      <formula>$F146&lt;=0</formula>
    </cfRule>
  </conditionalFormatting>
  <conditionalFormatting sqref="C147">
    <cfRule type="expression" priority="132" aboveAverage="0" equalAverage="0" bottom="0" percent="0" rank="0" text="" dxfId="559">
      <formula>$F147&lt;=0</formula>
    </cfRule>
  </conditionalFormatting>
  <conditionalFormatting sqref="C148">
    <cfRule type="expression" priority="133" aboveAverage="0" equalAverage="0" bottom="0" percent="0" rank="0" text="" dxfId="560">
      <formula>$F148&lt;=0</formula>
    </cfRule>
  </conditionalFormatting>
  <conditionalFormatting sqref="C149">
    <cfRule type="expression" priority="134" aboveAverage="0" equalAverage="0" bottom="0" percent="0" rank="0" text="" dxfId="561">
      <formula>$F149&lt;=0</formula>
    </cfRule>
  </conditionalFormatting>
  <conditionalFormatting sqref="C150">
    <cfRule type="expression" priority="135" aboveAverage="0" equalAverage="0" bottom="0" percent="0" rank="0" text="" dxfId="562">
      <formula>$F150&lt;=0</formula>
    </cfRule>
  </conditionalFormatting>
  <conditionalFormatting sqref="C151">
    <cfRule type="expression" priority="136" aboveAverage="0" equalAverage="0" bottom="0" percent="0" rank="0" text="" dxfId="563">
      <formula>$F151&lt;=0</formula>
    </cfRule>
  </conditionalFormatting>
  <conditionalFormatting sqref="C152">
    <cfRule type="expression" priority="137" aboveAverage="0" equalAverage="0" bottom="0" percent="0" rank="0" text="" dxfId="564">
      <formula>$F152&lt;=0</formula>
    </cfRule>
  </conditionalFormatting>
  <conditionalFormatting sqref="C153">
    <cfRule type="expression" priority="138" aboveAverage="0" equalAverage="0" bottom="0" percent="0" rank="0" text="" dxfId="565">
      <formula>$F153&lt;=0</formula>
    </cfRule>
  </conditionalFormatting>
  <conditionalFormatting sqref="C154">
    <cfRule type="expression" priority="139" aboveAverage="0" equalAverage="0" bottom="0" percent="0" rank="0" text="" dxfId="566">
      <formula>$F154&lt;=0</formula>
    </cfRule>
  </conditionalFormatting>
  <conditionalFormatting sqref="C155">
    <cfRule type="expression" priority="140" aboveAverage="0" equalAverage="0" bottom="0" percent="0" rank="0" text="" dxfId="567">
      <formula>$F155&lt;=0</formula>
    </cfRule>
  </conditionalFormatting>
  <conditionalFormatting sqref="C168">
    <cfRule type="expression" priority="141" aboveAverage="0" equalAverage="0" bottom="0" percent="0" rank="0" text="" dxfId="568">
      <formula>$F168&lt;=0</formula>
    </cfRule>
  </conditionalFormatting>
  <conditionalFormatting sqref="C169">
    <cfRule type="expression" priority="142" aboveAverage="0" equalAverage="0" bottom="0" percent="0" rank="0" text="" dxfId="569">
      <formula>$F169&lt;=0</formula>
    </cfRule>
  </conditionalFormatting>
  <conditionalFormatting sqref="C170">
    <cfRule type="expression" priority="143" aboveAverage="0" equalAverage="0" bottom="0" percent="0" rank="0" text="" dxfId="570">
      <formula>$F170&lt;=0</formula>
    </cfRule>
  </conditionalFormatting>
  <conditionalFormatting sqref="C171">
    <cfRule type="expression" priority="144" aboveAverage="0" equalAverage="0" bottom="0" percent="0" rank="0" text="" dxfId="571">
      <formula>$F171&lt;=0</formula>
    </cfRule>
  </conditionalFormatting>
  <conditionalFormatting sqref="C172">
    <cfRule type="expression" priority="145" aboveAverage="0" equalAverage="0" bottom="0" percent="0" rank="0" text="" dxfId="572">
      <formula>$F172&lt;=0</formula>
    </cfRule>
  </conditionalFormatting>
  <conditionalFormatting sqref="C156">
    <cfRule type="expression" priority="146" aboveAverage="0" equalAverage="0" bottom="0" percent="0" rank="0" text="" dxfId="573">
      <formula>$F156&lt;=0</formula>
    </cfRule>
  </conditionalFormatting>
  <conditionalFormatting sqref="C157">
    <cfRule type="expression" priority="147" aboveAverage="0" equalAverage="0" bottom="0" percent="0" rank="0" text="" dxfId="574">
      <formula>$F157&lt;=0</formula>
    </cfRule>
  </conditionalFormatting>
  <conditionalFormatting sqref="C160">
    <cfRule type="expression" priority="148" aboveAverage="0" equalAverage="0" bottom="0" percent="0" rank="0" text="" dxfId="575">
      <formula>$F160&lt;=0</formula>
    </cfRule>
  </conditionalFormatting>
  <conditionalFormatting sqref="C162">
    <cfRule type="expression" priority="149" aboveAverage="0" equalAverage="0" bottom="0" percent="0" rank="0" text="" dxfId="576">
      <formula>$F162&lt;=0</formula>
    </cfRule>
  </conditionalFormatting>
  <conditionalFormatting sqref="C163">
    <cfRule type="expression" priority="150" aboveAverage="0" equalAverage="0" bottom="0" percent="0" rank="0" text="" dxfId="577">
      <formula>$F163&lt;=0</formula>
    </cfRule>
  </conditionalFormatting>
  <conditionalFormatting sqref="C164">
    <cfRule type="expression" priority="151" aboveAverage="0" equalAverage="0" bottom="0" percent="0" rank="0" text="" dxfId="578">
      <formula>$F164&lt;=0</formula>
    </cfRule>
  </conditionalFormatting>
  <conditionalFormatting sqref="C165">
    <cfRule type="expression" priority="152" aboveAverage="0" equalAverage="0" bottom="0" percent="0" rank="0" text="" dxfId="579">
      <formula>$F165&lt;=0</formula>
    </cfRule>
  </conditionalFormatting>
  <conditionalFormatting sqref="C166">
    <cfRule type="expression" priority="153" aboveAverage="0" equalAverage="0" bottom="0" percent="0" rank="0" text="" dxfId="580">
      <formula>$F166&lt;=0</formula>
    </cfRule>
  </conditionalFormatting>
  <conditionalFormatting sqref="C167">
    <cfRule type="expression" priority="154" aboveAverage="0" equalAverage="0" bottom="0" percent="0" rank="0" text="" dxfId="581">
      <formula>$F167&lt;=0</formula>
    </cfRule>
  </conditionalFormatting>
  <conditionalFormatting sqref="C173">
    <cfRule type="expression" priority="155" aboveAverage="0" equalAverage="0" bottom="0" percent="0" rank="0" text="" dxfId="582">
      <formula>$F173&lt;=0</formula>
    </cfRule>
  </conditionalFormatting>
  <conditionalFormatting sqref="C174">
    <cfRule type="expression" priority="156" aboveAverage="0" equalAverage="0" bottom="0" percent="0" rank="0" text="" dxfId="583">
      <formula>$F174&lt;=0</formula>
    </cfRule>
  </conditionalFormatting>
  <conditionalFormatting sqref="C175">
    <cfRule type="expression" priority="157" aboveAverage="0" equalAverage="0" bottom="0" percent="0" rank="0" text="" dxfId="584">
      <formula>$F175&lt;=0</formula>
    </cfRule>
  </conditionalFormatting>
  <conditionalFormatting sqref="C176">
    <cfRule type="expression" priority="158" aboveAverage="0" equalAverage="0" bottom="0" percent="0" rank="0" text="" dxfId="585">
      <formula>$F176&lt;=0</formula>
    </cfRule>
  </conditionalFormatting>
  <conditionalFormatting sqref="C177">
    <cfRule type="expression" priority="159" aboveAverage="0" equalAverage="0" bottom="0" percent="0" rank="0" text="" dxfId="586">
      <formula>$F177&lt;=0</formula>
    </cfRule>
  </conditionalFormatting>
  <conditionalFormatting sqref="C178">
    <cfRule type="expression" priority="160" aboveAverage="0" equalAverage="0" bottom="0" percent="0" rank="0" text="" dxfId="587">
      <formula>$F178&lt;=0</formula>
    </cfRule>
  </conditionalFormatting>
  <conditionalFormatting sqref="C179">
    <cfRule type="expression" priority="161" aboveAverage="0" equalAverage="0" bottom="0" percent="0" rank="0" text="" dxfId="588">
      <formula>$F179&lt;=0</formula>
    </cfRule>
  </conditionalFormatting>
  <conditionalFormatting sqref="C181">
    <cfRule type="expression" priority="162" aboveAverage="0" equalAverage="0" bottom="0" percent="0" rank="0" text="" dxfId="589">
      <formula>$F181&lt;=0</formula>
    </cfRule>
  </conditionalFormatting>
  <conditionalFormatting sqref="C182">
    <cfRule type="expression" priority="163" aboveAverage="0" equalAverage="0" bottom="0" percent="0" rank="0" text="" dxfId="590">
      <formula>$F182&lt;=0</formula>
    </cfRule>
  </conditionalFormatting>
  <conditionalFormatting sqref="C183">
    <cfRule type="expression" priority="164" aboveAverage="0" equalAverage="0" bottom="0" percent="0" rank="0" text="" dxfId="591">
      <formula>$F183&lt;=0</formula>
    </cfRule>
  </conditionalFormatting>
  <conditionalFormatting sqref="C184">
    <cfRule type="expression" priority="165" aboveAverage="0" equalAverage="0" bottom="0" percent="0" rank="0" text="" dxfId="592">
      <formula>$F184&lt;=0</formula>
    </cfRule>
  </conditionalFormatting>
  <conditionalFormatting sqref="C185">
    <cfRule type="expression" priority="166" aboveAverage="0" equalAverage="0" bottom="0" percent="0" rank="0" text="" dxfId="593">
      <formula>$F185&lt;=0</formula>
    </cfRule>
  </conditionalFormatting>
  <conditionalFormatting sqref="C186:C187">
    <cfRule type="expression" priority="167" aboveAverage="0" equalAverage="0" bottom="0" percent="0" rank="0" text="" dxfId="594">
      <formula>$F186&lt;=0</formula>
    </cfRule>
  </conditionalFormatting>
  <conditionalFormatting sqref="C188:C189">
    <cfRule type="expression" priority="168" aboveAverage="0" equalAverage="0" bottom="0" percent="0" rank="0" text="" dxfId="595">
      <formula>$F188&lt;=0</formula>
    </cfRule>
  </conditionalFormatting>
  <conditionalFormatting sqref="C190">
    <cfRule type="expression" priority="169" aboveAverage="0" equalAverage="0" bottom="0" percent="0" rank="0" text="" dxfId="596">
      <formula>$F190&lt;=0</formula>
    </cfRule>
  </conditionalFormatting>
  <conditionalFormatting sqref="C191">
    <cfRule type="expression" priority="170" aboveAverage="0" equalAverage="0" bottom="0" percent="0" rank="0" text="" dxfId="597">
      <formula>$F191&lt;=0</formula>
    </cfRule>
  </conditionalFormatting>
  <conditionalFormatting sqref="C192">
    <cfRule type="expression" priority="171" aboveAverage="0" equalAverage="0" bottom="0" percent="0" rank="0" text="" dxfId="598">
      <formula>$F192&lt;=0</formula>
    </cfRule>
  </conditionalFormatting>
  <conditionalFormatting sqref="C193">
    <cfRule type="expression" priority="172" aboveAverage="0" equalAverage="0" bottom="0" percent="0" rank="0" text="" dxfId="599">
      <formula>$F193&lt;=0</formula>
    </cfRule>
  </conditionalFormatting>
  <conditionalFormatting sqref="C194">
    <cfRule type="expression" priority="173" aboveAverage="0" equalAverage="0" bottom="0" percent="0" rank="0" text="" dxfId="600">
      <formula>$F194&lt;=0</formula>
    </cfRule>
  </conditionalFormatting>
  <conditionalFormatting sqref="C196">
    <cfRule type="expression" priority="174" aboveAverage="0" equalAverage="0" bottom="0" percent="0" rank="0" text="" dxfId="601">
      <formula>$F196&lt;=0</formula>
    </cfRule>
  </conditionalFormatting>
  <conditionalFormatting sqref="C198:C199">
    <cfRule type="expression" priority="175" aboveAverage="0" equalAverage="0" bottom="0" percent="0" rank="0" text="" dxfId="602">
      <formula>$F198&lt;=0</formula>
    </cfRule>
  </conditionalFormatting>
  <conditionalFormatting sqref="C200">
    <cfRule type="expression" priority="176" aboveAverage="0" equalAverage="0" bottom="0" percent="0" rank="0" text="" dxfId="603">
      <formula>$F200&lt;=0</formula>
    </cfRule>
  </conditionalFormatting>
  <conditionalFormatting sqref="C201">
    <cfRule type="expression" priority="177" aboveAverage="0" equalAverage="0" bottom="0" percent="0" rank="0" text="" dxfId="604">
      <formula>$F201&lt;=0</formula>
    </cfRule>
  </conditionalFormatting>
  <conditionalFormatting sqref="C202">
    <cfRule type="expression" priority="178" aboveAverage="0" equalAverage="0" bottom="0" percent="0" rank="0" text="" dxfId="605">
      <formula>$F202&lt;=0</formula>
    </cfRule>
  </conditionalFormatting>
  <conditionalFormatting sqref="C203">
    <cfRule type="expression" priority="179" aboveAverage="0" equalAverage="0" bottom="0" percent="0" rank="0" text="" dxfId="606">
      <formula>$F203&lt;=0</formula>
    </cfRule>
  </conditionalFormatting>
  <conditionalFormatting sqref="C205">
    <cfRule type="expression" priority="180" aboveAverage="0" equalAverage="0" bottom="0" percent="0" rank="0" text="" dxfId="607">
      <formula>$F205&lt;=0</formula>
    </cfRule>
  </conditionalFormatting>
  <conditionalFormatting sqref="C204">
    <cfRule type="expression" priority="181" aboveAverage="0" equalAverage="0" bottom="0" percent="0" rank="0" text="" dxfId="608">
      <formula>$F204&lt;=0</formula>
    </cfRule>
  </conditionalFormatting>
  <conditionalFormatting sqref="C206">
    <cfRule type="expression" priority="182" aboveAverage="0" equalAverage="0" bottom="0" percent="0" rank="0" text="" dxfId="609">
      <formula>$F206&lt;=0</formula>
    </cfRule>
  </conditionalFormatting>
  <conditionalFormatting sqref="C207">
    <cfRule type="expression" priority="183" aboveAverage="0" equalAverage="0" bottom="0" percent="0" rank="0" text="" dxfId="610">
      <formula>$F207&lt;=0</formula>
    </cfRule>
  </conditionalFormatting>
  <conditionalFormatting sqref="C208">
    <cfRule type="expression" priority="184" aboveAverage="0" equalAverage="0" bottom="0" percent="0" rank="0" text="" dxfId="611">
      <formula>$F208&lt;=0</formula>
    </cfRule>
  </conditionalFormatting>
  <conditionalFormatting sqref="C209">
    <cfRule type="expression" priority="185" aboveAverage="0" equalAverage="0" bottom="0" percent="0" rank="0" text="" dxfId="612">
      <formula>$F209&lt;=0</formula>
    </cfRule>
  </conditionalFormatting>
  <conditionalFormatting sqref="C210">
    <cfRule type="expression" priority="186" aboveAverage="0" equalAverage="0" bottom="0" percent="0" rank="0" text="" dxfId="613">
      <formula>$F210&lt;=0</formula>
    </cfRule>
  </conditionalFormatting>
  <conditionalFormatting sqref="C211">
    <cfRule type="expression" priority="187" aboveAverage="0" equalAverage="0" bottom="0" percent="0" rank="0" text="" dxfId="614">
      <formula>$F211&lt;=0</formula>
    </cfRule>
  </conditionalFormatting>
  <conditionalFormatting sqref="C212">
    <cfRule type="expression" priority="188" aboveAverage="0" equalAverage="0" bottom="0" percent="0" rank="0" text="" dxfId="615">
      <formula>$F212&lt;=0</formula>
    </cfRule>
  </conditionalFormatting>
  <conditionalFormatting sqref="C213">
    <cfRule type="expression" priority="189" aboveAverage="0" equalAverage="0" bottom="0" percent="0" rank="0" text="" dxfId="616">
      <formula>$F213&lt;=0</formula>
    </cfRule>
  </conditionalFormatting>
  <conditionalFormatting sqref="C214">
    <cfRule type="expression" priority="190" aboveAverage="0" equalAverage="0" bottom="0" percent="0" rank="0" text="" dxfId="617">
      <formula>$F214&lt;=0</formula>
    </cfRule>
  </conditionalFormatting>
  <conditionalFormatting sqref="C215">
    <cfRule type="expression" priority="191" aboveAverage="0" equalAverage="0" bottom="0" percent="0" rank="0" text="" dxfId="618">
      <formula>$F215&lt;=0</formula>
    </cfRule>
  </conditionalFormatting>
  <conditionalFormatting sqref="C216">
    <cfRule type="expression" priority="192" aboveAverage="0" equalAverage="0" bottom="0" percent="0" rank="0" text="" dxfId="619">
      <formula>$F216&lt;=0</formula>
    </cfRule>
  </conditionalFormatting>
  <conditionalFormatting sqref="C217">
    <cfRule type="expression" priority="193" aboveAverage="0" equalAverage="0" bottom="0" percent="0" rank="0" text="" dxfId="620">
      <formula>$F217&lt;=0</formula>
    </cfRule>
  </conditionalFormatting>
  <conditionalFormatting sqref="C218">
    <cfRule type="expression" priority="194" aboveAverage="0" equalAverage="0" bottom="0" percent="0" rank="0" text="" dxfId="621">
      <formula>$F218&lt;=0</formula>
    </cfRule>
  </conditionalFormatting>
  <conditionalFormatting sqref="C219">
    <cfRule type="expression" priority="195" aboveAverage="0" equalAverage="0" bottom="0" percent="0" rank="0" text="" dxfId="622">
      <formula>$F219&lt;=0</formula>
    </cfRule>
  </conditionalFormatting>
  <conditionalFormatting sqref="C259:C260">
    <cfRule type="expression" priority="196" aboveAverage="0" equalAverage="0" bottom="0" percent="0" rank="0" text="" dxfId="623">
      <formula>#ref!&lt;=0</formula>
    </cfRule>
  </conditionalFormatting>
  <conditionalFormatting sqref="C220:C221">
    <cfRule type="expression" priority="197" aboveAverage="0" equalAverage="0" bottom="0" percent="0" rank="0" text="" dxfId="624">
      <formula>$F220&lt;=0</formula>
    </cfRule>
  </conditionalFormatting>
  <conditionalFormatting sqref="C224:C225">
    <cfRule type="expression" priority="198" aboveAverage="0" equalAverage="0" bottom="0" percent="0" rank="0" text="" dxfId="625">
      <formula>$F224&lt;=0</formula>
    </cfRule>
  </conditionalFormatting>
  <conditionalFormatting sqref="C226">
    <cfRule type="expression" priority="199" aboveAverage="0" equalAverage="0" bottom="0" percent="0" rank="0" text="" dxfId="626">
      <formula>$F226&lt;=0</formula>
    </cfRule>
  </conditionalFormatting>
  <conditionalFormatting sqref="C227">
    <cfRule type="expression" priority="200" aboveAverage="0" equalAverage="0" bottom="0" percent="0" rank="0" text="" dxfId="627">
      <formula>$F227&lt;=0</formula>
    </cfRule>
  </conditionalFormatting>
  <conditionalFormatting sqref="C228">
    <cfRule type="expression" priority="201" aboveAverage="0" equalAverage="0" bottom="0" percent="0" rank="0" text="" dxfId="628">
      <formula>$F228&lt;=0</formula>
    </cfRule>
  </conditionalFormatting>
  <conditionalFormatting sqref="C229">
    <cfRule type="expression" priority="202" aboveAverage="0" equalAverage="0" bottom="0" percent="0" rank="0" text="" dxfId="629">
      <formula>$F229&lt;=0</formula>
    </cfRule>
  </conditionalFormatting>
  <conditionalFormatting sqref="C230">
    <cfRule type="expression" priority="203" aboveAverage="0" equalAverage="0" bottom="0" percent="0" rank="0" text="" dxfId="630">
      <formula>$F230&lt;=0</formula>
    </cfRule>
  </conditionalFormatting>
  <conditionalFormatting sqref="C231">
    <cfRule type="expression" priority="204" aboveAverage="0" equalAverage="0" bottom="0" percent="0" rank="0" text="" dxfId="631">
      <formula>$F231&lt;=0</formula>
    </cfRule>
  </conditionalFormatting>
  <conditionalFormatting sqref="C232">
    <cfRule type="expression" priority="205" aboveAverage="0" equalAverage="0" bottom="0" percent="0" rank="0" text="" dxfId="632">
      <formula>$F232&lt;=0</formula>
    </cfRule>
  </conditionalFormatting>
  <conditionalFormatting sqref="C233">
    <cfRule type="expression" priority="206" aboveAverage="0" equalAverage="0" bottom="0" percent="0" rank="0" text="" dxfId="633">
      <formula>$F233&lt;=0</formula>
    </cfRule>
  </conditionalFormatting>
  <conditionalFormatting sqref="C234">
    <cfRule type="expression" priority="207" aboveAverage="0" equalAverage="0" bottom="0" percent="0" rank="0" text="" dxfId="634">
      <formula>$F234&lt;=0</formula>
    </cfRule>
  </conditionalFormatting>
  <conditionalFormatting sqref="C235">
    <cfRule type="expression" priority="208" aboveAverage="0" equalAverage="0" bottom="0" percent="0" rank="0" text="" dxfId="635">
      <formula>$F235&lt;=0</formula>
    </cfRule>
  </conditionalFormatting>
  <conditionalFormatting sqref="C236">
    <cfRule type="expression" priority="209" aboveAverage="0" equalAverage="0" bottom="0" percent="0" rank="0" text="" dxfId="636">
      <formula>$F236&lt;=0</formula>
    </cfRule>
  </conditionalFormatting>
  <conditionalFormatting sqref="C237">
    <cfRule type="expression" priority="210" aboveAverage="0" equalAverage="0" bottom="0" percent="0" rank="0" text="" dxfId="637">
      <formula>$F237&lt;=0</formula>
    </cfRule>
  </conditionalFormatting>
  <conditionalFormatting sqref="C238">
    <cfRule type="expression" priority="211" aboveAverage="0" equalAverage="0" bottom="0" percent="0" rank="0" text="" dxfId="638">
      <formula>$F238&lt;=0</formula>
    </cfRule>
  </conditionalFormatting>
  <conditionalFormatting sqref="C239">
    <cfRule type="expression" priority="212" aboveAverage="0" equalAverage="0" bottom="0" percent="0" rank="0" text="" dxfId="639">
      <formula>$F239&lt;=0</formula>
    </cfRule>
  </conditionalFormatting>
  <conditionalFormatting sqref="C240:C241">
    <cfRule type="expression" priority="213" aboveAverage="0" equalAverage="0" bottom="0" percent="0" rank="0" text="" dxfId="640">
      <formula>$F240&lt;=0</formula>
    </cfRule>
  </conditionalFormatting>
  <conditionalFormatting sqref="C242:C244">
    <cfRule type="expression" priority="214" aboveAverage="0" equalAverage="0" bottom="0" percent="0" rank="0" text="" dxfId="641">
      <formula>$F242&lt;=0</formula>
    </cfRule>
  </conditionalFormatting>
  <conditionalFormatting sqref="C247">
    <cfRule type="expression" priority="215" aboveAverage="0" equalAverage="0" bottom="0" percent="0" rank="0" text="" dxfId="642">
      <formula>$F247&lt;=0</formula>
    </cfRule>
  </conditionalFormatting>
  <conditionalFormatting sqref="C248 C251 C253:C258">
    <cfRule type="expression" priority="216" aboveAverage="0" equalAverage="0" bottom="0" percent="0" rank="0" text="" dxfId="643">
      <formula>$F248&lt;=0</formula>
    </cfRule>
  </conditionalFormatting>
  <conditionalFormatting sqref="C245">
    <cfRule type="expression" priority="217" aboveAverage="0" equalAverage="0" bottom="0" percent="0" rank="0" text="" dxfId="644">
      <formula>$F245&lt;=0</formula>
    </cfRule>
  </conditionalFormatting>
  <conditionalFormatting sqref="C246">
    <cfRule type="expression" priority="218" aboveAverage="0" equalAverage="0" bottom="0" percent="0" rank="0" text="" dxfId="645">
      <formula>$F246&lt;=0</formula>
    </cfRule>
  </conditionalFormatting>
  <conditionalFormatting sqref="C249">
    <cfRule type="expression" priority="219" aboveAverage="0" equalAverage="0" bottom="0" percent="0" rank="0" text="" dxfId="646">
      <formula>$F249&lt;=0</formula>
    </cfRule>
  </conditionalFormatting>
  <conditionalFormatting sqref="C250">
    <cfRule type="expression" priority="220" aboveAverage="0" equalAverage="0" bottom="0" percent="0" rank="0" text="" dxfId="647">
      <formula>$F250&lt;=0</formula>
    </cfRule>
  </conditionalFormatting>
  <conditionalFormatting sqref="C252">
    <cfRule type="expression" priority="221" aboveAverage="0" equalAverage="0" bottom="0" percent="0" rank="0" text="" dxfId="648">
      <formula>$F252&lt;=0</formula>
    </cfRule>
  </conditionalFormatting>
  <conditionalFormatting sqref="C261:C275">
    <cfRule type="expression" priority="222" aboveAverage="0" equalAverage="0" bottom="0" percent="0" rank="0" text="" dxfId="649">
      <formula>#ref!&lt;=0</formula>
    </cfRule>
  </conditionalFormatting>
  <conditionalFormatting sqref="C276:C277">
    <cfRule type="expression" priority="223" aboveAverage="0" equalAverage="0" bottom="0" percent="0" rank="0" text="" dxfId="650">
      <formula>#ref!&lt;=0</formula>
    </cfRule>
  </conditionalFormatting>
  <conditionalFormatting sqref="C278:C283 C288:C292">
    <cfRule type="expression" priority="224" aboveAverage="0" equalAverage="0" bottom="0" percent="0" rank="0" text="" dxfId="651">
      <formula>#ref!&lt;=0</formula>
    </cfRule>
  </conditionalFormatting>
  <conditionalFormatting sqref="C293:C301">
    <cfRule type="expression" priority="225" aboveAverage="0" equalAverage="0" bottom="0" percent="0" rank="0" text="" dxfId="652">
      <formula>#ref!&lt;=0</formula>
    </cfRule>
  </conditionalFormatting>
  <conditionalFormatting sqref="C304">
    <cfRule type="expression" priority="226" aboveAverage="0" equalAverage="0" bottom="0" percent="0" rank="0" text="" dxfId="653">
      <formula>#ref!&lt;=0</formula>
    </cfRule>
  </conditionalFormatting>
  <conditionalFormatting sqref="C305:C311">
    <cfRule type="expression" priority="227" aboveAverage="0" equalAverage="0" bottom="0" percent="0" rank="0" text="" dxfId="654">
      <formula>#ref!&lt;=0</formula>
    </cfRule>
  </conditionalFormatting>
  <conditionalFormatting sqref="C312:C317">
    <cfRule type="expression" priority="228" aboveAverage="0" equalAverage="0" bottom="0" percent="0" rank="0" text="" dxfId="655">
      <formula>#ref!&lt;=0</formula>
    </cfRule>
  </conditionalFormatting>
  <conditionalFormatting sqref="C318">
    <cfRule type="expression" priority="229" aboveAverage="0" equalAverage="0" bottom="0" percent="0" rank="0" text="" dxfId="656">
      <formula>#ref!&lt;=0</formula>
    </cfRule>
  </conditionalFormatting>
  <conditionalFormatting sqref="C319">
    <cfRule type="expression" priority="230" aboveAverage="0" equalAverage="0" bottom="0" percent="0" rank="0" text="" dxfId="657">
      <formula>#ref!&lt;=0</formula>
    </cfRule>
  </conditionalFormatting>
  <conditionalFormatting sqref="C320">
    <cfRule type="expression" priority="231" aboveAverage="0" equalAverage="0" bottom="0" percent="0" rank="0" text="" dxfId="658">
      <formula>#ref!&lt;=0</formula>
    </cfRule>
  </conditionalFormatting>
  <conditionalFormatting sqref="C284">
    <cfRule type="expression" priority="232" aboveAverage="0" equalAverage="0" bottom="0" percent="0" rank="0" text="" dxfId="659">
      <formula>#ref!&lt;=0</formula>
    </cfRule>
  </conditionalFormatting>
  <conditionalFormatting sqref="C285:C286">
    <cfRule type="expression" priority="233" aboveAverage="0" equalAverage="0" bottom="0" percent="0" rank="0" text="" dxfId="660">
      <formula>#ref!&lt;=0</formula>
    </cfRule>
  </conditionalFormatting>
  <conditionalFormatting sqref="C287">
    <cfRule type="expression" priority="234" aboveAverage="0" equalAverage="0" bottom="0" percent="0" rank="0" text="" dxfId="661">
      <formula>#ref!&lt;=0</formula>
    </cfRule>
  </conditionalFormatting>
  <conditionalFormatting sqref="C302">
    <cfRule type="expression" priority="235" aboveAverage="0" equalAverage="0" bottom="0" percent="0" rank="0" text="" dxfId="662">
      <formula>#ref!&lt;=0</formula>
    </cfRule>
  </conditionalFormatting>
  <conditionalFormatting sqref="C303">
    <cfRule type="expression" priority="236" aboveAverage="0" equalAverage="0" bottom="0" percent="0" rank="0" text="" dxfId="663">
      <formula>#ref!&lt;=0</formula>
    </cfRule>
  </conditionalFormatting>
  <conditionalFormatting sqref="C323:C328">
    <cfRule type="expression" priority="237" aboveAverage="0" equalAverage="0" bottom="0" percent="0" rank="0" text="" dxfId="664">
      <formula>#ref!&lt;=0</formula>
    </cfRule>
  </conditionalFormatting>
  <conditionalFormatting sqref="C323:C328">
    <cfRule type="expression" priority="238" aboveAverage="0" equalAverage="0" bottom="0" percent="0" rank="0" text="" dxfId="665">
      <formula>#ref!&lt;=0</formula>
    </cfRule>
  </conditionalFormatting>
  <conditionalFormatting sqref="C321">
    <cfRule type="expression" priority="239" aboveAverage="0" equalAverage="0" bottom="0" percent="0" rank="0" text="" dxfId="666">
      <formula>#ref!&lt;=0</formula>
    </cfRule>
  </conditionalFormatting>
  <conditionalFormatting sqref="C322">
    <cfRule type="expression" priority="240" aboveAverage="0" equalAverage="0" bottom="0" percent="0" rank="0" text="" dxfId="667">
      <formula>#ref!&lt;=0</formula>
    </cfRule>
  </conditionalFormatting>
  <conditionalFormatting sqref="C329">
    <cfRule type="expression" priority="241" aboveAverage="0" equalAverage="0" bottom="0" percent="0" rank="0" text="" dxfId="668">
      <formula>#ref!&lt;=0</formula>
    </cfRule>
  </conditionalFormatting>
  <conditionalFormatting sqref="C330:C331">
    <cfRule type="expression" priority="242" aboveAverage="0" equalAverage="0" bottom="0" percent="0" rank="0" text="" dxfId="669">
      <formula>#ref!&lt;=0</formula>
    </cfRule>
  </conditionalFormatting>
  <conditionalFormatting sqref="C334:C345">
    <cfRule type="expression" priority="243" aboveAverage="0" equalAverage="0" bottom="0" percent="0" rank="0" text="" dxfId="670">
      <formula>#ref!&lt;=0</formula>
    </cfRule>
  </conditionalFormatting>
  <conditionalFormatting sqref="C332:C333">
    <cfRule type="expression" priority="244" aboveAverage="0" equalAverage="0" bottom="0" percent="0" rank="0" text="" dxfId="671">
      <formula>#ref!&lt;=0</formula>
    </cfRule>
  </conditionalFormatting>
  <conditionalFormatting sqref="C353">
    <cfRule type="expression" priority="245" aboveAverage="0" equalAverage="0" bottom="0" percent="0" rank="0" text="" dxfId="672">
      <formula>#ref!&lt;=0</formula>
    </cfRule>
  </conditionalFormatting>
  <conditionalFormatting sqref="C354">
    <cfRule type="expression" priority="246" aboveAverage="0" equalAverage="0" bottom="0" percent="0" rank="0" text="" dxfId="673">
      <formula>#ref!&lt;=0</formula>
    </cfRule>
  </conditionalFormatting>
  <conditionalFormatting sqref="C356">
    <cfRule type="expression" priority="247" aboveAverage="0" equalAverage="0" bottom="0" percent="0" rank="0" text="" dxfId="674">
      <formula>#ref!&lt;=0</formula>
    </cfRule>
  </conditionalFormatting>
  <conditionalFormatting sqref="C355">
    <cfRule type="expression" priority="248" aboveAverage="0" equalAverage="0" bottom="0" percent="0" rank="0" text="" dxfId="675">
      <formula>#ref!&lt;=0</formula>
    </cfRule>
  </conditionalFormatting>
  <conditionalFormatting sqref="C357:C358">
    <cfRule type="expression" priority="249" aboveAverage="0" equalAverage="0" bottom="0" percent="0" rank="0" text="" dxfId="676">
      <formula>#ref!&lt;=0</formula>
    </cfRule>
  </conditionalFormatting>
  <conditionalFormatting sqref="C359:C362">
    <cfRule type="expression" priority="250" aboveAverage="0" equalAverage="0" bottom="0" percent="0" rank="0" text="" dxfId="677">
      <formula>#ref!&lt;=0</formula>
    </cfRule>
  </conditionalFormatting>
  <conditionalFormatting sqref="C363">
    <cfRule type="expression" priority="251" aboveAverage="0" equalAverage="0" bottom="0" percent="0" rank="0" text="" dxfId="678">
      <formula>#ref!&lt;=0</formula>
    </cfRule>
  </conditionalFormatting>
  <conditionalFormatting sqref="C369:C373">
    <cfRule type="expression" priority="252" aboveAverage="0" equalAverage="0" bottom="0" percent="0" rank="0" text="" dxfId="679">
      <formula>#ref!&lt;=0</formula>
    </cfRule>
  </conditionalFormatting>
  <conditionalFormatting sqref="C364:C368">
    <cfRule type="expression" priority="253" aboveAverage="0" equalAverage="0" bottom="0" percent="0" rank="0" text="" dxfId="680">
      <formula>#ref!&lt;=0</formula>
    </cfRule>
  </conditionalFormatting>
  <conditionalFormatting sqref="C380">
    <cfRule type="expression" priority="254" aboveAverage="0" equalAverage="0" bottom="0" percent="0" rank="0" text="" dxfId="681">
      <formula>#ref!&lt;=0</formula>
    </cfRule>
  </conditionalFormatting>
  <conditionalFormatting sqref="C374:C375">
    <cfRule type="expression" priority="255" aboveAverage="0" equalAverage="0" bottom="0" percent="0" rank="0" text="" dxfId="682">
      <formula>#ref!&lt;=0</formula>
    </cfRule>
  </conditionalFormatting>
  <conditionalFormatting sqref="C376:C378">
    <cfRule type="expression" priority="256" aboveAverage="0" equalAverage="0" bottom="0" percent="0" rank="0" text="" dxfId="683">
      <formula>#ref!&lt;=0</formula>
    </cfRule>
  </conditionalFormatting>
  <conditionalFormatting sqref="C379">
    <cfRule type="expression" priority="257" aboveAverage="0" equalAverage="0" bottom="0" percent="0" rank="0" text="" dxfId="684">
      <formula>#ref!&lt;=0</formula>
    </cfRule>
  </conditionalFormatting>
  <conditionalFormatting sqref="C346:C352">
    <cfRule type="expression" priority="258" aboveAverage="0" equalAverage="0" bottom="0" percent="0" rank="0" text="" dxfId="685">
      <formula>#ref!&lt;=0</formula>
    </cfRule>
  </conditionalFormatting>
  <conditionalFormatting sqref="C381">
    <cfRule type="expression" priority="259" aboveAverage="0" equalAverage="0" bottom="0" percent="0" rank="0" text="" dxfId="686">
      <formula>#ref!&lt;=0</formula>
    </cfRule>
  </conditionalFormatting>
  <conditionalFormatting sqref="C382">
    <cfRule type="expression" priority="260" aboveAverage="0" equalAverage="0" bottom="0" percent="0" rank="0" text="" dxfId="687">
      <formula>#ref!&lt;=0</formula>
    </cfRule>
  </conditionalFormatting>
  <conditionalFormatting sqref="C383:C390">
    <cfRule type="expression" priority="261" aboveAverage="0" equalAverage="0" bottom="0" percent="0" rank="0" text="" dxfId="688">
      <formula>#ref!&lt;=0</formula>
    </cfRule>
  </conditionalFormatting>
  <conditionalFormatting sqref="C391:C400">
    <cfRule type="expression" priority="262" aboveAverage="0" equalAverage="0" bottom="0" percent="0" rank="0" text="" dxfId="689">
      <formula>#ref!&lt;=0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6:E6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6" activeCellId="0" sqref="A6"/>
    </sheetView>
  </sheetViews>
  <sheetFormatPr defaultColWidth="10.5390625" defaultRowHeight="15" zeroHeight="false" outlineLevelRow="0" outlineLevelCol="0"/>
  <cols>
    <col collapsed="false" customWidth="true" hidden="false" outlineLevel="0" max="1" min="1" style="0" width="51.28"/>
    <col collapsed="false" customWidth="true" hidden="false" outlineLevel="0" max="2" min="2" style="0" width="17.57"/>
    <col collapsed="false" customWidth="true" hidden="false" outlineLevel="0" max="3" min="3" style="0" width="13"/>
  </cols>
  <sheetData>
    <row r="6" customFormat="false" ht="15" hidden="false" customHeight="false" outlineLevel="0" collapsed="false">
      <c r="A6" s="29" t="s">
        <v>242</v>
      </c>
      <c r="B6" s="29"/>
      <c r="C6" s="29"/>
    </row>
    <row r="9" customFormat="false" ht="15" hidden="false" customHeight="false" outlineLevel="0" collapsed="false">
      <c r="A9" s="30"/>
      <c r="B9" s="31" t="s">
        <v>243</v>
      </c>
      <c r="C9" s="32"/>
    </row>
    <row r="10" customFormat="false" ht="15" hidden="false" customHeight="false" outlineLevel="0" collapsed="false">
      <c r="A10" s="33" t="s">
        <v>3</v>
      </c>
      <c r="B10" s="34" t="s">
        <v>244</v>
      </c>
      <c r="C10" s="35" t="s">
        <v>245</v>
      </c>
      <c r="D10" s="17"/>
      <c r="E10" s="17"/>
    </row>
    <row r="11" customFormat="false" ht="15" hidden="false" customHeight="false" outlineLevel="0" collapsed="false">
      <c r="A11" s="36" t="s">
        <v>5</v>
      </c>
      <c r="B11" s="37" t="n">
        <v>1</v>
      </c>
      <c r="C11" s="38" t="n">
        <v>0.25</v>
      </c>
      <c r="D11" s="17"/>
      <c r="E11" s="17"/>
    </row>
    <row r="12" customFormat="false" ht="15" hidden="false" customHeight="false" outlineLevel="0" collapsed="false">
      <c r="A12" s="39" t="s">
        <v>7</v>
      </c>
      <c r="B12" s="40" t="n">
        <v>10</v>
      </c>
      <c r="C12" s="41" t="n">
        <v>10</v>
      </c>
      <c r="D12" s="17"/>
      <c r="E12" s="17"/>
    </row>
    <row r="13" customFormat="false" ht="15" hidden="false" customHeight="false" outlineLevel="0" collapsed="false">
      <c r="A13" s="39" t="s">
        <v>9</v>
      </c>
      <c r="B13" s="40" t="n">
        <v>63</v>
      </c>
      <c r="C13" s="41" t="n">
        <v>20.16</v>
      </c>
      <c r="D13" s="17"/>
      <c r="E13" s="17"/>
    </row>
    <row r="14" customFormat="false" ht="15" hidden="false" customHeight="false" outlineLevel="0" collapsed="false">
      <c r="A14" s="39" t="s">
        <v>11</v>
      </c>
      <c r="B14" s="40" t="n">
        <v>3</v>
      </c>
      <c r="C14" s="41" t="n">
        <v>0.75</v>
      </c>
      <c r="D14" s="17"/>
      <c r="E14" s="17"/>
    </row>
    <row r="15" customFormat="false" ht="15" hidden="false" customHeight="false" outlineLevel="0" collapsed="false">
      <c r="A15" s="39" t="s">
        <v>13</v>
      </c>
      <c r="B15" s="40" t="n">
        <v>5</v>
      </c>
      <c r="C15" s="41" t="n">
        <v>1.25</v>
      </c>
      <c r="D15" s="17"/>
      <c r="E15" s="17"/>
    </row>
    <row r="16" s="17" customFormat="true" ht="15" hidden="false" customHeight="false" outlineLevel="0" collapsed="false">
      <c r="A16" s="39" t="s">
        <v>15</v>
      </c>
      <c r="B16" s="40" t="n">
        <v>128</v>
      </c>
      <c r="C16" s="41" t="n">
        <v>19.2</v>
      </c>
    </row>
    <row r="17" s="17" customFormat="true" ht="15" hidden="false" customHeight="false" outlineLevel="0" collapsed="false">
      <c r="A17" s="39" t="s">
        <v>19</v>
      </c>
      <c r="B17" s="40" t="n">
        <v>19</v>
      </c>
      <c r="C17" s="41" t="n">
        <v>4.75</v>
      </c>
    </row>
    <row r="18" s="17" customFormat="true" ht="15" hidden="false" customHeight="false" outlineLevel="0" collapsed="false">
      <c r="A18" s="39" t="s">
        <v>21</v>
      </c>
      <c r="B18" s="40" t="n">
        <v>91</v>
      </c>
      <c r="C18" s="41" t="n">
        <v>36.4</v>
      </c>
    </row>
    <row r="19" s="17" customFormat="true" ht="15" hidden="false" customHeight="false" outlineLevel="0" collapsed="false">
      <c r="A19" s="39" t="s">
        <v>23</v>
      </c>
      <c r="B19" s="40" t="n">
        <v>72</v>
      </c>
      <c r="C19" s="41" t="n">
        <v>43.2</v>
      </c>
    </row>
    <row r="20" customFormat="false" ht="15" hidden="false" customHeight="false" outlineLevel="0" collapsed="false">
      <c r="A20" s="39" t="s">
        <v>25</v>
      </c>
      <c r="B20" s="40" t="n">
        <v>20</v>
      </c>
      <c r="C20" s="41" t="n">
        <v>20</v>
      </c>
      <c r="D20" s="17"/>
      <c r="E20" s="17"/>
    </row>
    <row r="21" customFormat="false" ht="15" hidden="false" customHeight="false" outlineLevel="0" collapsed="false">
      <c r="A21" s="39" t="s">
        <v>27</v>
      </c>
      <c r="B21" s="40" t="n">
        <v>38</v>
      </c>
      <c r="C21" s="41" t="n">
        <v>9.5</v>
      </c>
      <c r="D21" s="17"/>
      <c r="E21" s="17"/>
    </row>
    <row r="22" customFormat="false" ht="15" hidden="false" customHeight="false" outlineLevel="0" collapsed="false">
      <c r="A22" s="39" t="s">
        <v>29</v>
      </c>
      <c r="B22" s="40" t="n">
        <v>112</v>
      </c>
      <c r="C22" s="41" t="n">
        <v>44.8</v>
      </c>
      <c r="D22" s="17"/>
      <c r="E22" s="17"/>
    </row>
    <row r="23" customFormat="false" ht="15" hidden="false" customHeight="false" outlineLevel="0" collapsed="false">
      <c r="A23" s="39" t="s">
        <v>31</v>
      </c>
      <c r="B23" s="40" t="n">
        <v>72</v>
      </c>
      <c r="C23" s="41" t="n">
        <v>43.2</v>
      </c>
      <c r="D23" s="17"/>
      <c r="E23" s="17"/>
    </row>
    <row r="24" customFormat="false" ht="15" hidden="false" customHeight="false" outlineLevel="0" collapsed="false">
      <c r="A24" s="39" t="s">
        <v>33</v>
      </c>
      <c r="B24" s="40" t="n">
        <v>35</v>
      </c>
      <c r="C24" s="41" t="n">
        <v>14</v>
      </c>
      <c r="D24" s="17"/>
      <c r="E24" s="17"/>
    </row>
    <row r="25" customFormat="false" ht="15" hidden="false" customHeight="false" outlineLevel="0" collapsed="false">
      <c r="A25" s="39" t="s">
        <v>35</v>
      </c>
      <c r="B25" s="40" t="n">
        <v>22</v>
      </c>
      <c r="C25" s="41" t="n">
        <v>13.2</v>
      </c>
      <c r="D25" s="17"/>
      <c r="E25" s="17"/>
    </row>
    <row r="26" customFormat="false" ht="15" hidden="false" customHeight="false" outlineLevel="0" collapsed="false">
      <c r="A26" s="39" t="s">
        <v>37</v>
      </c>
      <c r="B26" s="40" t="n">
        <v>8</v>
      </c>
      <c r="C26" s="41" t="n">
        <v>2</v>
      </c>
      <c r="D26" s="17"/>
      <c r="E26" s="17"/>
    </row>
    <row r="27" customFormat="false" ht="15" hidden="false" customHeight="false" outlineLevel="0" collapsed="false">
      <c r="A27" s="39" t="s">
        <v>42</v>
      </c>
      <c r="B27" s="40" t="n">
        <v>69</v>
      </c>
      <c r="C27" s="41" t="n">
        <v>17.25</v>
      </c>
      <c r="D27" s="17"/>
      <c r="E27" s="17"/>
    </row>
    <row r="28" customFormat="false" ht="15" hidden="false" customHeight="false" outlineLevel="0" collapsed="false">
      <c r="A28" s="39" t="s">
        <v>44</v>
      </c>
      <c r="B28" s="40" t="n">
        <v>37.5</v>
      </c>
      <c r="C28" s="41" t="n">
        <v>75</v>
      </c>
      <c r="D28" s="17"/>
      <c r="E28" s="17"/>
    </row>
    <row r="29" customFormat="false" ht="15" hidden="false" customHeight="false" outlineLevel="0" collapsed="false">
      <c r="A29" s="39" t="s">
        <v>46</v>
      </c>
      <c r="B29" s="40" t="n">
        <v>115</v>
      </c>
      <c r="C29" s="41" t="n">
        <v>575</v>
      </c>
      <c r="D29" s="17"/>
      <c r="E29" s="17"/>
    </row>
    <row r="30" customFormat="false" ht="15" hidden="false" customHeight="false" outlineLevel="0" collapsed="false">
      <c r="A30" s="39" t="s">
        <v>48</v>
      </c>
      <c r="B30" s="40" t="n">
        <v>186</v>
      </c>
      <c r="C30" s="41" t="n">
        <v>44.64</v>
      </c>
      <c r="D30" s="17"/>
      <c r="E30" s="17"/>
    </row>
    <row r="31" customFormat="false" ht="15" hidden="false" customHeight="false" outlineLevel="0" collapsed="false">
      <c r="A31" s="39" t="s">
        <v>50</v>
      </c>
      <c r="B31" s="40" t="n">
        <v>32</v>
      </c>
      <c r="C31" s="41" t="n">
        <v>14.14</v>
      </c>
      <c r="D31" s="17"/>
      <c r="E31" s="17"/>
    </row>
    <row r="32" customFormat="false" ht="15" hidden="false" customHeight="false" outlineLevel="0" collapsed="false">
      <c r="A32" s="39" t="s">
        <v>52</v>
      </c>
      <c r="B32" s="40" t="n">
        <v>25</v>
      </c>
      <c r="C32" s="41" t="n">
        <v>25</v>
      </c>
      <c r="D32" s="17"/>
      <c r="E32" s="17"/>
    </row>
    <row r="33" customFormat="false" ht="15" hidden="false" customHeight="false" outlineLevel="0" collapsed="false">
      <c r="A33" s="39" t="s">
        <v>54</v>
      </c>
      <c r="B33" s="40" t="n">
        <v>4</v>
      </c>
      <c r="C33" s="41" t="n">
        <v>0.7</v>
      </c>
      <c r="D33" s="17"/>
      <c r="E33" s="17"/>
    </row>
    <row r="34" customFormat="false" ht="15" hidden="false" customHeight="false" outlineLevel="0" collapsed="false">
      <c r="A34" s="39" t="s">
        <v>66</v>
      </c>
      <c r="B34" s="40" t="n">
        <v>18.54</v>
      </c>
      <c r="C34" s="41" t="n">
        <v>18.54</v>
      </c>
      <c r="D34" s="17"/>
      <c r="E34" s="17"/>
    </row>
    <row r="35" customFormat="false" ht="15" hidden="false" customHeight="false" outlineLevel="0" collapsed="false">
      <c r="A35" s="39" t="s">
        <v>70</v>
      </c>
      <c r="B35" s="40" t="n">
        <v>60</v>
      </c>
      <c r="C35" s="41" t="n">
        <v>15</v>
      </c>
      <c r="D35" s="17"/>
      <c r="E35" s="17"/>
    </row>
    <row r="36" customFormat="false" ht="15" hidden="false" customHeight="false" outlineLevel="0" collapsed="false">
      <c r="A36" s="39" t="s">
        <v>74</v>
      </c>
      <c r="B36" s="40" t="n">
        <v>13.9</v>
      </c>
      <c r="C36" s="41" t="n">
        <v>13.9</v>
      </c>
      <c r="D36" s="17"/>
      <c r="E36" s="17"/>
    </row>
    <row r="37" customFormat="false" ht="15" hidden="false" customHeight="false" outlineLevel="0" collapsed="false">
      <c r="A37" s="39" t="s">
        <v>76</v>
      </c>
      <c r="B37" s="40" t="n">
        <v>38</v>
      </c>
      <c r="C37" s="41" t="n">
        <v>9.5</v>
      </c>
      <c r="D37" s="17"/>
      <c r="E37" s="17"/>
    </row>
    <row r="38" customFormat="false" ht="15" hidden="false" customHeight="false" outlineLevel="0" collapsed="false">
      <c r="A38" s="39" t="s">
        <v>78</v>
      </c>
      <c r="B38" s="40" t="n">
        <v>27</v>
      </c>
      <c r="C38" s="41" t="n">
        <v>8.1</v>
      </c>
      <c r="D38" s="17"/>
      <c r="E38" s="17"/>
    </row>
    <row r="39" customFormat="false" ht="15" hidden="false" customHeight="false" outlineLevel="0" collapsed="false">
      <c r="A39" s="39" t="s">
        <v>144</v>
      </c>
      <c r="B39" s="40" t="n">
        <v>8.58</v>
      </c>
      <c r="C39" s="41" t="n">
        <v>8.58</v>
      </c>
      <c r="D39" s="17"/>
      <c r="E39" s="17"/>
    </row>
    <row r="40" customFormat="false" ht="15" hidden="false" customHeight="false" outlineLevel="0" collapsed="false">
      <c r="A40" s="39" t="s">
        <v>140</v>
      </c>
      <c r="B40" s="40" t="n">
        <v>11</v>
      </c>
      <c r="C40" s="41" t="n">
        <v>2.75</v>
      </c>
      <c r="D40" s="17"/>
      <c r="E40" s="17"/>
    </row>
    <row r="41" customFormat="false" ht="15" hidden="false" customHeight="false" outlineLevel="0" collapsed="false">
      <c r="A41" s="39" t="s">
        <v>142</v>
      </c>
      <c r="B41" s="40" t="n">
        <v>2</v>
      </c>
      <c r="C41" s="41" t="n">
        <v>0.6</v>
      </c>
      <c r="D41" s="17"/>
      <c r="E41" s="17"/>
    </row>
    <row r="42" customFormat="false" ht="15" hidden="false" customHeight="false" outlineLevel="0" collapsed="false">
      <c r="A42" s="39" t="s">
        <v>80</v>
      </c>
      <c r="B42" s="40" t="n">
        <v>218.07</v>
      </c>
      <c r="C42" s="41" t="n">
        <v>218.07</v>
      </c>
      <c r="D42" s="17"/>
      <c r="E42" s="17"/>
    </row>
    <row r="43" customFormat="false" ht="15" hidden="false" customHeight="false" outlineLevel="0" collapsed="false">
      <c r="A43" s="39" t="s">
        <v>82</v>
      </c>
      <c r="B43" s="40" t="n">
        <v>2</v>
      </c>
      <c r="C43" s="41" t="n">
        <v>0.5</v>
      </c>
      <c r="D43" s="17"/>
      <c r="E43" s="17"/>
    </row>
    <row r="44" customFormat="false" ht="15" hidden="false" customHeight="false" outlineLevel="0" collapsed="false">
      <c r="A44" s="39" t="s">
        <v>84</v>
      </c>
      <c r="B44" s="40" t="n">
        <v>102</v>
      </c>
      <c r="C44" s="41" t="n">
        <v>51</v>
      </c>
      <c r="D44" s="17"/>
      <c r="E44" s="17"/>
    </row>
    <row r="45" customFormat="false" ht="15" hidden="false" customHeight="false" outlineLevel="0" collapsed="false">
      <c r="A45" s="39" t="s">
        <v>134</v>
      </c>
      <c r="B45" s="40" t="n">
        <v>2.98</v>
      </c>
      <c r="C45" s="41" t="n">
        <v>2.98</v>
      </c>
      <c r="D45" s="17"/>
      <c r="E45" s="17"/>
    </row>
    <row r="46" customFormat="false" ht="15" hidden="false" customHeight="false" outlineLevel="0" collapsed="false">
      <c r="A46" s="39" t="s">
        <v>138</v>
      </c>
      <c r="B46" s="40" t="n">
        <v>7</v>
      </c>
      <c r="C46" s="41" t="n">
        <v>2.1</v>
      </c>
      <c r="D46" s="17"/>
      <c r="E46" s="17"/>
    </row>
    <row r="47" customFormat="false" ht="15" hidden="false" customHeight="false" outlineLevel="0" collapsed="false">
      <c r="A47" s="39" t="s">
        <v>130</v>
      </c>
      <c r="B47" s="40" t="n">
        <v>5.66</v>
      </c>
      <c r="C47" s="41" t="n">
        <v>5.66</v>
      </c>
      <c r="D47" s="17"/>
      <c r="E47" s="17"/>
    </row>
    <row r="48" customFormat="false" ht="15" hidden="false" customHeight="false" outlineLevel="0" collapsed="false">
      <c r="A48" s="39" t="s">
        <v>132</v>
      </c>
      <c r="B48" s="40" t="n">
        <v>14</v>
      </c>
      <c r="C48" s="41" t="n">
        <v>3.5</v>
      </c>
      <c r="D48" s="17"/>
      <c r="E48" s="17"/>
    </row>
    <row r="49" customFormat="false" ht="15" hidden="false" customHeight="false" outlineLevel="0" collapsed="false">
      <c r="A49" s="39" t="s">
        <v>88</v>
      </c>
      <c r="B49" s="40" t="n">
        <v>11</v>
      </c>
      <c r="C49" s="41" t="n">
        <v>2.75</v>
      </c>
      <c r="D49" s="17"/>
      <c r="E49" s="17"/>
    </row>
    <row r="50" customFormat="false" ht="15" hidden="false" customHeight="false" outlineLevel="0" collapsed="false">
      <c r="A50" s="39" t="s">
        <v>92</v>
      </c>
      <c r="B50" s="40" t="n">
        <v>6</v>
      </c>
      <c r="C50" s="41" t="n">
        <v>3</v>
      </c>
      <c r="D50" s="17"/>
      <c r="E50" s="17"/>
    </row>
    <row r="51" customFormat="false" ht="15" hidden="false" customHeight="false" outlineLevel="0" collapsed="false">
      <c r="A51" s="39" t="s">
        <v>94</v>
      </c>
      <c r="B51" s="40" t="n">
        <v>37</v>
      </c>
      <c r="C51" s="41" t="n">
        <v>12.82</v>
      </c>
      <c r="D51" s="17"/>
      <c r="E51" s="17"/>
    </row>
    <row r="52" customFormat="false" ht="15" hidden="false" customHeight="false" outlineLevel="0" collapsed="false">
      <c r="A52" s="39" t="s">
        <v>96</v>
      </c>
      <c r="B52" s="40" t="n">
        <v>16</v>
      </c>
      <c r="C52" s="41" t="n">
        <v>4</v>
      </c>
      <c r="D52" s="17"/>
      <c r="E52" s="17"/>
    </row>
    <row r="53" customFormat="false" ht="15" hidden="false" customHeight="false" outlineLevel="0" collapsed="false">
      <c r="A53" s="39" t="s">
        <v>98</v>
      </c>
      <c r="B53" s="40" t="n">
        <v>109</v>
      </c>
      <c r="C53" s="41" t="n">
        <v>26.78</v>
      </c>
      <c r="D53" s="17"/>
      <c r="E53" s="17"/>
    </row>
    <row r="54" customFormat="false" ht="15" hidden="false" customHeight="false" outlineLevel="0" collapsed="false">
      <c r="A54" s="39" t="s">
        <v>100</v>
      </c>
      <c r="B54" s="40" t="n">
        <v>3</v>
      </c>
      <c r="C54" s="41" t="n">
        <v>0.45</v>
      </c>
      <c r="D54" s="17"/>
      <c r="E54" s="17"/>
    </row>
    <row r="55" customFormat="false" ht="15" hidden="false" customHeight="false" outlineLevel="0" collapsed="false">
      <c r="A55" s="39" t="s">
        <v>104</v>
      </c>
      <c r="B55" s="40" t="n">
        <v>5.71</v>
      </c>
      <c r="C55" s="41" t="n">
        <v>5.71</v>
      </c>
      <c r="D55" s="17"/>
      <c r="E55" s="17"/>
    </row>
    <row r="56" customFormat="false" ht="15" hidden="false" customHeight="false" outlineLevel="0" collapsed="false">
      <c r="A56" s="39" t="s">
        <v>108</v>
      </c>
      <c r="B56" s="40" t="n">
        <v>6.2</v>
      </c>
      <c r="C56" s="41" t="n">
        <v>6.2</v>
      </c>
      <c r="D56" s="17"/>
      <c r="E56" s="17"/>
    </row>
    <row r="57" customFormat="false" ht="15" hidden="false" customHeight="false" outlineLevel="0" collapsed="false">
      <c r="A57" s="39" t="s">
        <v>110</v>
      </c>
      <c r="B57" s="40" t="n">
        <v>40</v>
      </c>
      <c r="C57" s="41" t="n">
        <v>8</v>
      </c>
      <c r="D57" s="17"/>
      <c r="E57" s="17"/>
    </row>
    <row r="58" customFormat="false" ht="15" hidden="false" customHeight="false" outlineLevel="0" collapsed="false">
      <c r="A58" s="39" t="s">
        <v>112</v>
      </c>
      <c r="B58" s="40" t="n">
        <v>5</v>
      </c>
      <c r="C58" s="41" t="n">
        <v>1.25</v>
      </c>
      <c r="D58" s="17"/>
      <c r="E58" s="17"/>
    </row>
    <row r="59" customFormat="false" ht="15" hidden="false" customHeight="false" outlineLevel="0" collapsed="false">
      <c r="A59" s="39" t="s">
        <v>114</v>
      </c>
      <c r="B59" s="40" t="n">
        <v>84</v>
      </c>
      <c r="C59" s="41" t="n">
        <v>42</v>
      </c>
      <c r="D59" s="17"/>
      <c r="E59" s="17"/>
    </row>
    <row r="60" customFormat="false" ht="15" hidden="false" customHeight="false" outlineLevel="0" collapsed="false">
      <c r="A60" s="39" t="s">
        <v>116</v>
      </c>
      <c r="B60" s="40" t="n">
        <v>30</v>
      </c>
      <c r="C60" s="41" t="n">
        <v>3</v>
      </c>
      <c r="D60" s="17"/>
      <c r="E60" s="17"/>
    </row>
    <row r="61" customFormat="false" ht="15" hidden="false" customHeight="false" outlineLevel="0" collapsed="false">
      <c r="A61" s="39" t="s">
        <v>118</v>
      </c>
      <c r="B61" s="40" t="n">
        <v>208</v>
      </c>
      <c r="C61" s="41" t="n">
        <v>41.6</v>
      </c>
      <c r="D61" s="17"/>
      <c r="E61" s="17"/>
    </row>
    <row r="62" customFormat="false" ht="15" hidden="false" customHeight="false" outlineLevel="0" collapsed="false">
      <c r="A62" s="39" t="s">
        <v>120</v>
      </c>
      <c r="B62" s="40" t="n">
        <v>3.12</v>
      </c>
      <c r="C62" s="41" t="n">
        <v>3.12</v>
      </c>
      <c r="D62" s="17"/>
      <c r="E62" s="17"/>
    </row>
    <row r="63" customFormat="false" ht="15" hidden="false" customHeight="false" outlineLevel="0" collapsed="false">
      <c r="A63" s="39" t="s">
        <v>122</v>
      </c>
      <c r="B63" s="40" t="n">
        <v>22</v>
      </c>
      <c r="C63" s="41" t="n">
        <v>11</v>
      </c>
      <c r="D63" s="17"/>
      <c r="E63" s="17"/>
    </row>
    <row r="64" customFormat="false" ht="15" hidden="false" customHeight="false" outlineLevel="0" collapsed="false">
      <c r="A64" s="39" t="s">
        <v>124</v>
      </c>
      <c r="B64" s="40" t="n">
        <v>52</v>
      </c>
      <c r="C64" s="41" t="n">
        <v>52</v>
      </c>
      <c r="D64" s="17"/>
      <c r="E64" s="17"/>
    </row>
    <row r="65" customFormat="false" ht="15" hidden="false" customHeight="false" outlineLevel="0" collapsed="false">
      <c r="A65" s="39" t="s">
        <v>126</v>
      </c>
      <c r="B65" s="42" t="n">
        <v>217</v>
      </c>
      <c r="C65" s="43" t="n">
        <v>54.25</v>
      </c>
      <c r="D65" s="17"/>
      <c r="E65" s="17"/>
    </row>
    <row r="66" customFormat="false" ht="15" hidden="false" customHeight="false" outlineLevel="0" collapsed="false">
      <c r="A66" s="44" t="s">
        <v>246</v>
      </c>
      <c r="B66" s="45" t="n">
        <v>2553.26</v>
      </c>
      <c r="C66" s="46" t="n">
        <v>1673.1</v>
      </c>
    </row>
  </sheetData>
  <mergeCells count="1">
    <mergeCell ref="A6:C6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80"/>
  <sheetViews>
    <sheetView showFormulas="false" showGridLines="true" showRowColHeaders="true" showZeros="true" rightToLeft="false" tabSelected="true" showOutlineSymbols="true" defaultGridColor="true" view="normal" topLeftCell="A58" colorId="64" zoomScale="100" zoomScaleNormal="100" zoomScalePageLayoutView="100" workbookViewId="0">
      <selection pane="topLeft" activeCell="C80" activeCellId="0" sqref="C80"/>
    </sheetView>
  </sheetViews>
  <sheetFormatPr defaultColWidth="11.4296875" defaultRowHeight="15.75" zeroHeight="false" outlineLevelRow="0" outlineLevelCol="0"/>
  <cols>
    <col collapsed="false" customWidth="true" hidden="false" outlineLevel="0" max="1" min="1" style="47" width="6.57"/>
    <col collapsed="false" customWidth="true" hidden="false" outlineLevel="0" max="2" min="2" style="47" width="62.42"/>
    <col collapsed="false" customWidth="true" hidden="false" outlineLevel="0" max="3" min="3" style="48" width="18.28"/>
    <col collapsed="false" customWidth="true" hidden="false" outlineLevel="0" max="4" min="4" style="48" width="13.43"/>
    <col collapsed="false" customWidth="false" hidden="false" outlineLevel="0" max="1024" min="5" style="47" width="11.43"/>
  </cols>
  <sheetData>
    <row r="1" customFormat="false" ht="15.75" hidden="false" customHeight="false" outlineLevel="0" collapsed="false">
      <c r="A1" s="49"/>
      <c r="B1" s="49"/>
      <c r="C1" s="50"/>
      <c r="D1" s="50"/>
    </row>
    <row r="2" customFormat="false" ht="24.75" hidden="false" customHeight="true" outlineLevel="0" collapsed="false">
      <c r="A2" s="49"/>
      <c r="B2" s="49"/>
      <c r="C2" s="51"/>
      <c r="D2" s="49"/>
    </row>
    <row r="3" customFormat="false" ht="15.75" hidden="false" customHeight="false" outlineLevel="0" collapsed="false">
      <c r="A3" s="49"/>
      <c r="B3" s="49"/>
      <c r="C3" s="49"/>
      <c r="D3" s="50"/>
    </row>
    <row r="4" customFormat="false" ht="15.75" hidden="false" customHeight="false" outlineLevel="0" collapsed="false">
      <c r="A4" s="49"/>
      <c r="B4" s="52"/>
      <c r="C4" s="52"/>
      <c r="D4" s="52"/>
    </row>
    <row r="5" customFormat="false" ht="15.75" hidden="false" customHeight="false" outlineLevel="0" collapsed="false">
      <c r="A5" s="49"/>
      <c r="B5" s="51" t="s">
        <v>0</v>
      </c>
      <c r="C5" s="52"/>
      <c r="D5" s="52"/>
    </row>
    <row r="6" customFormat="false" ht="15.75" hidden="false" customHeight="false" outlineLevel="0" collapsed="false">
      <c r="A6" s="49"/>
      <c r="B6" s="49"/>
      <c r="C6" s="50"/>
      <c r="D6" s="50"/>
    </row>
    <row r="7" customFormat="false" ht="18.75" hidden="false" customHeight="false" outlineLevel="0" collapsed="false">
      <c r="A7" s="49"/>
      <c r="B7" s="53" t="s">
        <v>247</v>
      </c>
      <c r="C7" s="53"/>
      <c r="D7" s="53"/>
    </row>
    <row r="8" customFormat="false" ht="15.75" hidden="false" customHeight="false" outlineLevel="0" collapsed="false">
      <c r="A8" s="49"/>
      <c r="B8" s="49"/>
      <c r="C8" s="50"/>
      <c r="D8" s="50"/>
    </row>
    <row r="9" customFormat="false" ht="49.5" hidden="false" customHeight="true" outlineLevel="0" collapsed="false">
      <c r="A9" s="49"/>
      <c r="B9" s="54" t="s">
        <v>248</v>
      </c>
      <c r="C9" s="55" t="s">
        <v>249</v>
      </c>
      <c r="D9" s="55" t="s">
        <v>250</v>
      </c>
    </row>
    <row r="10" customFormat="false" ht="28.5" hidden="false" customHeight="true" outlineLevel="0" collapsed="false">
      <c r="A10" s="49"/>
      <c r="B10" s="56" t="s">
        <v>251</v>
      </c>
      <c r="C10" s="57"/>
      <c r="D10" s="57"/>
    </row>
    <row r="11" customFormat="false" ht="21" hidden="false" customHeight="true" outlineLevel="0" collapsed="false">
      <c r="A11" s="49"/>
      <c r="B11" s="58" t="s">
        <v>252</v>
      </c>
      <c r="C11" s="59" t="n">
        <f aca="false">GETPIVOTDATA("Suma de Cantidad ",Hoja5!$A$9,"Descripción ","Chorizo Oxford por kilos (CRUDO)")</f>
        <v>20</v>
      </c>
      <c r="D11" s="59" t="n">
        <f aca="false">GETPIVOTDATA("Suma de Kg",Hoja5!$A$9,"Descripción ","Chorizo Oxford por kilos (CRUDO)")</f>
        <v>20</v>
      </c>
    </row>
    <row r="12" customFormat="false" ht="21" hidden="false" customHeight="true" outlineLevel="0" collapsed="false">
      <c r="A12" s="49"/>
      <c r="B12" s="58" t="s">
        <v>253</v>
      </c>
      <c r="C12" s="59" t="n">
        <f aca="false">GETPIVOTDATA("Suma de Cantidad ",Hoja5!$A$9,"Descripción ","Chorizo Oxford x 10 unidades 250g")</f>
        <v>38</v>
      </c>
      <c r="D12" s="59" t="n">
        <f aca="false">GETPIVOTDATA("Suma de Kg",Hoja5!$A$9,"Descripción ","Chorizo Oxford x 10 unidades 250g")</f>
        <v>9.5</v>
      </c>
    </row>
    <row r="13" customFormat="false" ht="21" hidden="false" customHeight="true" outlineLevel="0" collapsed="false">
      <c r="A13" s="49"/>
      <c r="B13" s="58" t="s">
        <v>254</v>
      </c>
      <c r="C13" s="59" t="n">
        <f aca="false">GETPIVOTDATA("Suma de Cantidad ",Hoja5!$A$9,"Descripción ","Chorizo Oxford x 4 unidades 400g")</f>
        <v>112</v>
      </c>
      <c r="D13" s="59" t="n">
        <f aca="false">GETPIVOTDATA("Suma de Kg",Hoja5!$A$9,"Descripción ","Chorizo Oxford x 4 unidades 400g")</f>
        <v>44.8</v>
      </c>
    </row>
    <row r="14" customFormat="false" ht="21" hidden="false" customHeight="true" outlineLevel="0" collapsed="false">
      <c r="A14" s="49"/>
      <c r="B14" s="60" t="s">
        <v>255</v>
      </c>
      <c r="C14" s="61" t="n">
        <f aca="false">GETPIVOTDATA("Suma de Cantidad ",Hoja5!$A$9,"Descripción ","Chorizo Oxford x 6 unidades 600g")</f>
        <v>72</v>
      </c>
      <c r="D14" s="61" t="n">
        <f aca="false">GETPIVOTDATA("Suma de Kg",Hoja5!$A$9,"Descripción ","Chorizo Oxford x 6 unidades 600g")</f>
        <v>43.2</v>
      </c>
    </row>
    <row r="15" customFormat="false" ht="21" hidden="false" customHeight="true" outlineLevel="0" collapsed="false">
      <c r="A15" s="49"/>
      <c r="B15" s="58" t="s">
        <v>256</v>
      </c>
      <c r="C15" s="61" t="n">
        <v>0</v>
      </c>
      <c r="D15" s="61" t="n">
        <v>0</v>
      </c>
    </row>
    <row r="16" customFormat="false" ht="21" hidden="false" customHeight="true" outlineLevel="0" collapsed="false">
      <c r="A16" s="49"/>
      <c r="B16" s="58" t="s">
        <v>257</v>
      </c>
      <c r="C16" s="59" t="n">
        <f aca="false">GETPIVOTDATA("Suma de Cantidad ",Hoja5!$A$9,"Descripción ","Chorizo finas hierbas x 10 unidades 250g")</f>
        <v>19</v>
      </c>
      <c r="D16" s="59" t="n">
        <f aca="false">GETPIVOTDATA("Suma de Kg",Hoja5!$A$9,"Descripción ","Chorizo finas hierbas x 10 unidades 250g")</f>
        <v>4.75</v>
      </c>
    </row>
    <row r="17" customFormat="false" ht="21" hidden="false" customHeight="true" outlineLevel="0" collapsed="false">
      <c r="A17" s="49"/>
      <c r="B17" s="58" t="s">
        <v>258</v>
      </c>
      <c r="C17" s="59" t="n">
        <f aca="false">GETPIVOTDATA("Suma de Cantidad ",Hoja5!$A$9,"Descripción ","Chorizo finas hierbas x 4 unidades 400g")</f>
        <v>91</v>
      </c>
      <c r="D17" s="59" t="n">
        <f aca="false">GETPIVOTDATA("Suma de Kg",Hoja5!$A$9,"Descripción ","Chorizo finas hierbas x 4 unidades 400g")</f>
        <v>36.4</v>
      </c>
    </row>
    <row r="18" customFormat="false" ht="21" hidden="false" customHeight="true" outlineLevel="0" collapsed="false">
      <c r="A18" s="49"/>
      <c r="B18" s="58" t="s">
        <v>259</v>
      </c>
      <c r="C18" s="59" t="n">
        <f aca="false">GETPIVOTDATA("Suma de Cantidad ",Hoja5!$A$9,"Descripción ","Chorizo finas hierbas x 6 unidades 600g")</f>
        <v>72</v>
      </c>
      <c r="D18" s="59" t="n">
        <f aca="false">GETPIVOTDATA("Suma de Kg",Hoja5!$A$9,"Descripción ","Chorizo finas hierbas x 6 unidades 600g")</f>
        <v>43.2</v>
      </c>
    </row>
    <row r="19" customFormat="false" ht="21" hidden="false" customHeight="true" outlineLevel="0" collapsed="false">
      <c r="A19" s="49"/>
      <c r="B19" s="58" t="s">
        <v>260</v>
      </c>
      <c r="C19" s="59" t="n">
        <f aca="false">GETPIVOTDATA("Suma de Cantidad ",Hoja5!$A$9,"Descripción ","Chorizo Sweet Spicy 400g")</f>
        <v>35</v>
      </c>
      <c r="D19" s="59" t="n">
        <f aca="false">GETPIVOTDATA("Suma de Kg",Hoja5!$A$9,"Descripción ","Chorizo Sweet Spicy 400g")</f>
        <v>14</v>
      </c>
    </row>
    <row r="20" customFormat="false" ht="21" hidden="false" customHeight="true" outlineLevel="0" collapsed="false">
      <c r="A20" s="49"/>
      <c r="B20" s="58" t="s">
        <v>261</v>
      </c>
      <c r="C20" s="59" t="n">
        <f aca="false">GETPIVOTDATA("Suma de Cantidad ",Hoja5!$A$9,"Descripción ","Chorizo Sweet Spicy 600g")</f>
        <v>22</v>
      </c>
      <c r="D20" s="59" t="n">
        <f aca="false">GETPIVOTDATA("Suma de Kg",Hoja5!$A$9,"Descripción ","Chorizo Sweet Spicy 600g")</f>
        <v>13.2</v>
      </c>
    </row>
    <row r="21" customFormat="false" ht="28.5" hidden="false" customHeight="true" outlineLevel="0" collapsed="false">
      <c r="A21" s="49"/>
      <c r="B21" s="62" t="s">
        <v>262</v>
      </c>
      <c r="C21" s="59" t="n">
        <f aca="false">SUM(C11:C20)</f>
        <v>481</v>
      </c>
      <c r="D21" s="59" t="n">
        <f aca="false">SUM(D11:D20)</f>
        <v>229.05</v>
      </c>
    </row>
    <row r="22" customFormat="false" ht="28.5" hidden="false" customHeight="true" outlineLevel="0" collapsed="false">
      <c r="A22" s="49"/>
      <c r="B22" s="63"/>
      <c r="C22" s="64"/>
      <c r="D22" s="64"/>
    </row>
    <row r="23" customFormat="false" ht="33" hidden="false" customHeight="true" outlineLevel="0" collapsed="false">
      <c r="A23" s="49"/>
      <c r="B23" s="65" t="s">
        <v>263</v>
      </c>
      <c r="C23" s="55" t="s">
        <v>249</v>
      </c>
      <c r="D23" s="55" t="s">
        <v>250</v>
      </c>
    </row>
    <row r="24" customFormat="false" ht="21" hidden="false" customHeight="true" outlineLevel="0" collapsed="false">
      <c r="A24" s="49"/>
      <c r="B24" s="60" t="s">
        <v>264</v>
      </c>
      <c r="C24" s="59" t="n">
        <f aca="false">GETPIVOTDATA("Suma de Cantidad ",Hoja5!$A$9,"Descripción ","Bratwurst x 4 unidades 320g ")</f>
        <v>63</v>
      </c>
      <c r="D24" s="59" t="n">
        <f aca="false">GETPIVOTDATA("Suma de Kg",Hoja5!$A$9,"Descripción ","Bratwurst x 4 unidades 320g ")</f>
        <v>20.16</v>
      </c>
    </row>
    <row r="25" customFormat="false" ht="21" hidden="false" customHeight="true" outlineLevel="0" collapsed="false">
      <c r="A25" s="49"/>
      <c r="B25" s="58" t="s">
        <v>265</v>
      </c>
      <c r="C25" s="59" t="n">
        <f aca="false">GETPIVOTDATA("Suma de Cantidad ",Hoja5!$A$9,"Descripción ","Vienesa x 5 unidades X 250g")</f>
        <v>217</v>
      </c>
      <c r="D25" s="59" t="n">
        <f aca="false">GETPIVOTDATA("Suma de Kg",Hoja5!$A$9,"Descripción ","Vienesa x 5 unidades X 250g")</f>
        <v>54.25</v>
      </c>
    </row>
    <row r="26" customFormat="false" ht="21" hidden="false" customHeight="true" outlineLevel="0" collapsed="false">
      <c r="A26" s="49"/>
      <c r="B26" s="58" t="s">
        <v>266</v>
      </c>
      <c r="C26" s="59" t="n">
        <f aca="false">GETPIVOTDATA("Suma de Cantidad ",Hoja5!$A$9,"Descripción ","Vienesa x 1 kilo ")</f>
        <v>52</v>
      </c>
      <c r="D26" s="59" t="n">
        <f aca="false">GETPIVOTDATA("Suma de Kg",Hoja5!$A$9,"Descripción ","Vienesa x 1 kilo ")</f>
        <v>52</v>
      </c>
    </row>
    <row r="27" customFormat="false" ht="21" hidden="false" customHeight="true" outlineLevel="0" collapsed="false">
      <c r="A27" s="49"/>
      <c r="B27" s="58" t="s">
        <v>267</v>
      </c>
      <c r="C27" s="59" t="n">
        <f aca="false">GETPIVOTDATA("Suma de Cantidad ",Hoja5!$A$9,"Descripción ","Frankfurter granel x 4 unidades 250g")</f>
        <v>186</v>
      </c>
      <c r="D27" s="59" t="n">
        <f aca="false">GETPIVOTDATA("Suma de Kg",Hoja5!$A$9,"Descripción ","Frankfurter granel x 4 unidades 250g")</f>
        <v>44.64</v>
      </c>
    </row>
    <row r="28" customFormat="false" ht="21" hidden="false" customHeight="true" outlineLevel="0" collapsed="false">
      <c r="A28" s="49"/>
      <c r="B28" s="58" t="s">
        <v>268</v>
      </c>
      <c r="C28" s="59" t="n">
        <f aca="false">GETPIVOTDATA("Suma de Cantidad ",Hoja5!$A$9,"Descripción ","Frankfurter cocktail x 10 unidades x 250g")</f>
        <v>69</v>
      </c>
      <c r="D28" s="59" t="n">
        <f aca="false">GETPIVOTDATA("Suma de Kg",Hoja5!$A$9,"Descripción ","Frankfurter cocktail x 10 unidades x 250g")</f>
        <v>17.25</v>
      </c>
    </row>
    <row r="29" customFormat="false" ht="21" hidden="false" customHeight="true" outlineLevel="0" collapsed="false">
      <c r="A29" s="49"/>
      <c r="B29" s="66" t="s">
        <v>269</v>
      </c>
      <c r="C29" s="67" t="n">
        <f aca="false">GETPIVOTDATA("Suma de Cantidad ",Hoja5!$A$9,"Descripción ","Frankfurter municipal x 3 unidades ")</f>
        <v>32</v>
      </c>
      <c r="D29" s="67" t="n">
        <f aca="false">GETPIVOTDATA("Suma de Kg",Hoja5!$A$9,"Descripción ","Frankfurter municipal x 3 unidades ")</f>
        <v>14.14</v>
      </c>
    </row>
    <row r="30" customFormat="false" ht="21" hidden="false" customHeight="true" outlineLevel="0" collapsed="false">
      <c r="A30" s="49"/>
      <c r="B30" s="66" t="s">
        <v>270</v>
      </c>
      <c r="C30" s="67" t="n">
        <f aca="false">GETPIVOTDATA("Suma de Cantidad ",Hoja5!$A$9,"Descripción ","Frankfurter x 1Kg")</f>
        <v>25</v>
      </c>
      <c r="D30" s="67" t="n">
        <f aca="false">GETPIVOTDATA("Suma de Kg",Hoja5!$A$9,"Descripción ","Frankfurter x 1Kg")</f>
        <v>25</v>
      </c>
    </row>
    <row r="31" customFormat="false" ht="21" hidden="false" customHeight="true" outlineLevel="0" collapsed="false">
      <c r="A31" s="49"/>
      <c r="B31" s="66" t="s">
        <v>271</v>
      </c>
      <c r="C31" s="67" t="n">
        <f aca="false">GETPIVOTDATA("Suma de Cantidad ",Hoja5!$A$9,"Descripción ","Frankfurter Gastronomico x 2Kg")</f>
        <v>37.5</v>
      </c>
      <c r="D31" s="67" t="n">
        <f aca="false">GETPIVOTDATA("Suma de Kg",Hoja5!$A$9,"Descripción ","Frankfurter Gastronomico x 2Kg")</f>
        <v>75</v>
      </c>
    </row>
    <row r="32" customFormat="false" ht="21" hidden="false" customHeight="true" outlineLevel="0" collapsed="false">
      <c r="A32" s="49"/>
      <c r="B32" s="66" t="s">
        <v>272</v>
      </c>
      <c r="C32" s="67" t="n">
        <f aca="false">GETPIVOTDATA("Suma de Cantidad ",Hoja5!$A$9,"Descripción ","Frankfurter Gastronomico x 5Kg")</f>
        <v>115</v>
      </c>
      <c r="D32" s="67" t="n">
        <f aca="false">GETPIVOTDATA("Suma de Kg",Hoja5!$A$9,"Descripción ","Frankfurter Gastronomico x 5Kg")</f>
        <v>575</v>
      </c>
    </row>
    <row r="33" customFormat="false" ht="21" hidden="false" customHeight="true" outlineLevel="0" collapsed="false">
      <c r="A33" s="49"/>
      <c r="B33" s="62" t="s">
        <v>273</v>
      </c>
      <c r="C33" s="59" t="n">
        <f aca="false">SUM(C24:C32)</f>
        <v>796.5</v>
      </c>
      <c r="D33" s="59" t="n">
        <f aca="false">SUM(D24:D32)</f>
        <v>877.44</v>
      </c>
    </row>
    <row r="34" customFormat="false" ht="21" hidden="false" customHeight="true" outlineLevel="0" collapsed="false">
      <c r="A34" s="49"/>
      <c r="B34" s="63"/>
      <c r="C34" s="64"/>
      <c r="D34" s="64"/>
    </row>
    <row r="35" customFormat="false" ht="21" hidden="false" customHeight="true" outlineLevel="0" collapsed="false">
      <c r="A35" s="49"/>
      <c r="B35" s="63"/>
      <c r="C35" s="64"/>
      <c r="D35" s="64"/>
    </row>
    <row r="36" customFormat="false" ht="21" hidden="false" customHeight="true" outlineLevel="0" collapsed="false">
      <c r="A36" s="49"/>
      <c r="B36" s="63"/>
      <c r="C36" s="64"/>
      <c r="D36" s="64"/>
    </row>
    <row r="37" customFormat="false" ht="29.25" hidden="false" customHeight="true" outlineLevel="0" collapsed="false">
      <c r="A37" s="49"/>
      <c r="B37" s="65" t="s">
        <v>274</v>
      </c>
      <c r="C37" s="55" t="s">
        <v>249</v>
      </c>
      <c r="D37" s="55" t="s">
        <v>250</v>
      </c>
    </row>
    <row r="38" customFormat="false" ht="21.75" hidden="false" customHeight="true" outlineLevel="0" collapsed="false">
      <c r="A38" s="49"/>
      <c r="B38" s="60" t="s">
        <v>275</v>
      </c>
      <c r="C38" s="61" t="n">
        <f aca="false">GETPIVOTDATA("Suma de Cantidad ",Hoja5!$A$9,"Descripción ","Chistorra Huachana x 6 unidades 150g")</f>
        <v>128</v>
      </c>
      <c r="D38" s="61" t="n">
        <f aca="false">GETPIVOTDATA("Suma de Kg",Hoja5!$A$9,"Descripción ","Chistorra Huachana x 6 unidades 150g")</f>
        <v>19.2</v>
      </c>
    </row>
    <row r="39" customFormat="false" ht="24.75" hidden="false" customHeight="true" outlineLevel="0" collapsed="false">
      <c r="A39" s="49"/>
      <c r="B39" s="58" t="s">
        <v>276</v>
      </c>
      <c r="C39" s="59" t="n">
        <f aca="false">GETPIVOTDATA("Suma de Cantidad ",Hoja5!$A$9,"Descripción ","Morcilla Cocktail x10")</f>
        <v>16</v>
      </c>
      <c r="D39" s="59" t="n">
        <f aca="false">GETPIVOTDATA("Suma de Kg",Hoja5!$A$9,"Descripción ","Morcilla Cocktail x10")</f>
        <v>4</v>
      </c>
    </row>
    <row r="40" customFormat="false" ht="22.5" hidden="false" customHeight="true" outlineLevel="0" collapsed="false">
      <c r="A40" s="49"/>
      <c r="B40" s="58" t="s">
        <v>277</v>
      </c>
      <c r="C40" s="59" t="n">
        <f aca="false">GETPIVOTDATA("Suma de Cantidad ",Hoja5!$A$9,"Descripción ","Morcilla Granel x3")</f>
        <v>109</v>
      </c>
      <c r="D40" s="59" t="n">
        <f aca="false">GETPIVOTDATA("Suma de Kg",Hoja5!$A$9,"Descripción ","Morcilla Granel x3")</f>
        <v>26.78</v>
      </c>
      <c r="E40" s="68"/>
    </row>
    <row r="41" customFormat="false" ht="21.75" hidden="false" customHeight="true" outlineLevel="0" collapsed="false">
      <c r="A41" s="49"/>
      <c r="B41" s="58" t="s">
        <v>278</v>
      </c>
      <c r="C41" s="59" t="n">
        <f aca="false">GETPIVOTDATA("Suma de Cantidad ",Hoja5!$A$9,"Descripción ","Tocino Ahumado Natural Entero ")</f>
        <v>6.2</v>
      </c>
      <c r="D41" s="59" t="n">
        <f aca="false">GETPIVOTDATA("Suma de Kg",Hoja5!$A$9,"Descripción ","Tocino Ahumado Natural Entero ")</f>
        <v>6.2</v>
      </c>
    </row>
    <row r="42" customFormat="false" ht="21.75" hidden="false" customHeight="true" outlineLevel="0" collapsed="false">
      <c r="A42" s="49"/>
      <c r="B42" s="66" t="s">
        <v>279</v>
      </c>
      <c r="C42" s="67" t="n">
        <f aca="false">GETPIVOTDATA("Suma de Cantidad ",Hoja5!$A$9,"Descripción ","Tocino Ahumado Natural x200g")</f>
        <v>40</v>
      </c>
      <c r="D42" s="59" t="n">
        <f aca="false">GETPIVOTDATA("Suma de Kg",Hoja5!$A$9,"Descripción ","Tocino Ahumado Natural x200g")</f>
        <v>8</v>
      </c>
    </row>
    <row r="43" customFormat="false" ht="21.75" hidden="false" customHeight="true" outlineLevel="0" collapsed="false">
      <c r="A43" s="49"/>
      <c r="B43" s="66" t="s">
        <v>280</v>
      </c>
      <c r="C43" s="67" t="n">
        <f aca="false">GETPIVOTDATA("Suma de Cantidad ",Hoja5!$A$9,"Descripción ","Tocino Ahumado Natural x250g")</f>
        <v>5</v>
      </c>
      <c r="D43" s="59" t="n">
        <f aca="false">GETPIVOTDATA("Suma de Kg",Hoja5!$A$9,"Descripción ","Tocino Ahumado Natural x250g")</f>
        <v>1.25</v>
      </c>
    </row>
    <row r="44" customFormat="false" ht="21.75" hidden="false" customHeight="true" outlineLevel="0" collapsed="false">
      <c r="A44" s="49"/>
      <c r="B44" s="66" t="s">
        <v>281</v>
      </c>
      <c r="C44" s="67" t="n">
        <f aca="false">GETPIVOTDATA("Suma de Cantidad ",Hoja5!$A$9,"Descripción ","Tocino Ahumado Natural x500g")</f>
        <v>84</v>
      </c>
      <c r="D44" s="59" t="n">
        <f aca="false">GETPIVOTDATA("Suma de Kg",Hoja5!$A$9,"Descripción ","Tocino Ahumado Natural x500g")</f>
        <v>42</v>
      </c>
    </row>
    <row r="45" customFormat="false" ht="21.75" hidden="false" customHeight="true" outlineLevel="0" collapsed="false">
      <c r="A45" s="49"/>
      <c r="B45" s="66" t="s">
        <v>282</v>
      </c>
      <c r="C45" s="67" t="n">
        <f aca="false">GETPIVOTDATA("Suma de Cantidad ",Hoja5!$A$9,"Descripción ","Tocino Ahumado Redondo (Entero) (ROJO) X KILOS ")</f>
        <v>3.12</v>
      </c>
      <c r="D45" s="59" t="n">
        <f aca="false">GETPIVOTDATA("Suma de Kg",Hoja5!$A$9,"Descripción ","Tocino Ahumado Redondo (Entero) (ROJO) X KILOS ")</f>
        <v>3.12</v>
      </c>
    </row>
    <row r="46" customFormat="false" ht="21.75" hidden="false" customHeight="true" outlineLevel="0" collapsed="false">
      <c r="A46" s="49"/>
      <c r="B46" s="66" t="s">
        <v>283</v>
      </c>
      <c r="C46" s="67" t="n">
        <f aca="false">GETPIVOTDATA("Suma de Cantidad ",Hoja5!$A$9,"Descripción ","Tocino Ahumado Redondo  x 100g (ROJO)")</f>
        <v>30</v>
      </c>
      <c r="D46" s="59" t="n">
        <f aca="false">GETPIVOTDATA("Suma de Kg",Hoja5!$A$9,"Descripción ","Tocino Ahumado Redondo  x 100g (ROJO)")</f>
        <v>3</v>
      </c>
    </row>
    <row r="47" customFormat="false" ht="21.75" hidden="false" customHeight="true" outlineLevel="0" collapsed="false">
      <c r="A47" s="49"/>
      <c r="B47" s="58" t="s">
        <v>284</v>
      </c>
      <c r="C47" s="59" t="n">
        <f aca="false">GETPIVOTDATA("Suma de Cantidad ",Hoja5!$A$9,"Descripción ","Tocino Ahumado Redondo  x 200g (ROJO)")</f>
        <v>208</v>
      </c>
      <c r="D47" s="59" t="n">
        <f aca="false">GETPIVOTDATA("Suma de Kg",Hoja5!$A$9,"Descripción ","Tocino Ahumado Redondo  x 200g (ROJO)")</f>
        <v>41.6</v>
      </c>
    </row>
    <row r="48" customFormat="false" ht="21.75" hidden="false" customHeight="true" outlineLevel="0" collapsed="false">
      <c r="A48" s="49"/>
      <c r="B48" s="58" t="s">
        <v>285</v>
      </c>
      <c r="C48" s="67" t="n">
        <f aca="false">GETPIVOTDATA("Suma de Cantidad ",Hoja5!$A$9,"Descripción ","Tocino ahumado Redondo x 500g (ROJO)")</f>
        <v>22</v>
      </c>
      <c r="D48" s="59" t="n">
        <f aca="false">GETPIVOTDATA("Suma de Kg",Hoja5!$A$9,"Descripción ","Tocino ahumado Redondo x 500g (ROJO)")</f>
        <v>11</v>
      </c>
    </row>
    <row r="49" customFormat="false" ht="21.75" hidden="false" customHeight="true" outlineLevel="0" collapsed="false">
      <c r="A49" s="49"/>
      <c r="B49" s="66" t="s">
        <v>286</v>
      </c>
      <c r="C49" s="67" t="n">
        <f aca="false">GETPIVOTDATA("Suma de Cantidad ",Hoja5!$A$9,"Descripción ","Longaniza Huachana x 350g")</f>
        <v>37</v>
      </c>
      <c r="D49" s="67" t="n">
        <f aca="false">GETPIVOTDATA("Suma de Kg",Hoja5!$A$9,"Descripción ","Longaniza Huachana x 350g")</f>
        <v>12.82</v>
      </c>
    </row>
    <row r="50" customFormat="false" ht="21.75" hidden="false" customHeight="true" outlineLevel="0" collapsed="false">
      <c r="A50" s="49"/>
      <c r="B50" s="66" t="s">
        <v>287</v>
      </c>
      <c r="C50" s="67" t="n">
        <f aca="false">GETPIVOTDATA("Suma de Cantidad ",Hoja5!$A$9,"Descripción ","Lomo ahumado x 250g")</f>
        <v>11</v>
      </c>
      <c r="D50" s="67" t="n">
        <f aca="false">GETPIVOTDATA("Suma de Kg",Hoja5!$A$9,"Descripción ","Lomo ahumado x 250g")</f>
        <v>2.75</v>
      </c>
    </row>
    <row r="51" customFormat="false" ht="21.75" hidden="false" customHeight="true" outlineLevel="0" collapsed="false">
      <c r="A51" s="49"/>
      <c r="B51" s="66" t="s">
        <v>288</v>
      </c>
      <c r="C51" s="67" t="n">
        <f aca="false">GETPIVOTDATA("Suma de Cantidad ",Hoja5!$A$9,"Descripción ","Lomo Ahumado x 500g")</f>
        <v>6</v>
      </c>
      <c r="D51" s="67" t="n">
        <f aca="false">GETPIVOTDATA("Suma de Kg",Hoja5!$A$9,"Descripción ","Lomo Ahumado x 500g")</f>
        <v>3</v>
      </c>
    </row>
    <row r="52" customFormat="false" ht="21.75" hidden="false" customHeight="true" outlineLevel="0" collapsed="false">
      <c r="A52" s="49"/>
      <c r="B52" s="66" t="s">
        <v>103</v>
      </c>
      <c r="C52" s="67" t="n">
        <f aca="false">GETPIVOTDATA("Suma de Cantidad ",Hoja5!$A$9,"Descripción ","Solomillo x KILO ")</f>
        <v>5.71</v>
      </c>
      <c r="D52" s="67" t="n">
        <f aca="false">GETPIVOTDATA("Suma de Kg",Hoja5!$A$9,"Descripción ","Solomillo x KILO ")</f>
        <v>5.71</v>
      </c>
    </row>
    <row r="53" customFormat="false" ht="21.75" hidden="false" customHeight="true" outlineLevel="0" collapsed="false">
      <c r="A53" s="49"/>
      <c r="B53" s="66" t="s">
        <v>289</v>
      </c>
      <c r="C53" s="67" t="n">
        <f aca="false">GETPIVOTDATA("Suma de Cantidad ",Hoja5!$A$9,"Descripción ","Bondiola X Kg")</f>
        <v>10</v>
      </c>
      <c r="D53" s="67" t="n">
        <f aca="false">GETPIVOTDATA("Suma de Kg",Hoja5!$A$9,"Descripción ","Bondiola X Kg")</f>
        <v>10</v>
      </c>
    </row>
    <row r="54" customFormat="false" ht="21.75" hidden="false" customHeight="true" outlineLevel="0" collapsed="false">
      <c r="A54" s="49"/>
      <c r="B54" s="66" t="s">
        <v>290</v>
      </c>
      <c r="C54" s="67" t="n">
        <f aca="false">GETPIVOTDATA("Suma de Cantidad ",Hoja5!$A$9,"Descripción ","Bondiola X 250G")</f>
        <v>1</v>
      </c>
      <c r="D54" s="67" t="n">
        <f aca="false">GETPIVOTDATA("Suma de Kg",Hoja5!$A$9,"Descripción ","Bondiola X 250G")</f>
        <v>0.25</v>
      </c>
    </row>
    <row r="55" customFormat="false" ht="21.75" hidden="false" customHeight="true" outlineLevel="0" collapsed="false">
      <c r="A55" s="49"/>
      <c r="B55" s="58" t="s">
        <v>291</v>
      </c>
      <c r="C55" s="67" t="n">
        <f aca="false">GETPIVOTDATA("Suma de Cantidad ",Hoja5!$A$9,"Descripción ","Chanchito al natural Franz doner kebab Lemon Pork 250g")</f>
        <v>3</v>
      </c>
      <c r="D55" s="67" t="n">
        <f aca="false">GETPIVOTDATA("Suma de Kg",Hoja5!$A$9,"Descripción ","Chanchito al natural Franz doner kebab Lemon Pork 250g")</f>
        <v>0.75</v>
      </c>
    </row>
    <row r="56" customFormat="false" ht="21.75" hidden="false" customHeight="true" outlineLevel="0" collapsed="false">
      <c r="A56" s="49"/>
      <c r="B56" s="58" t="s">
        <v>292</v>
      </c>
      <c r="C56" s="67" t="n">
        <f aca="false">GETPIVOTDATA("Suma de Cantidad ",Hoja5!$A$9,"Descripción ","Chanchito al natural Franz doner kebab Pork 250g")</f>
        <v>5</v>
      </c>
      <c r="D56" s="67" t="n">
        <f aca="false">GETPIVOTDATA("Suma de Kg",Hoja5!$A$9,"Descripción ","Chanchito al natural Franz doner kebab Pork 250g")</f>
        <v>1.25</v>
      </c>
    </row>
    <row r="57" customFormat="false" ht="21.75" hidden="false" customHeight="true" outlineLevel="0" collapsed="false">
      <c r="A57" s="49"/>
      <c r="B57" s="58" t="s">
        <v>293</v>
      </c>
      <c r="C57" s="67" t="n">
        <f aca="false">GETPIVOTDATA("Suma de Cantidad ",Hoja5!$A$9,"Descripción ","Cordero Franz Doner Kebab Lamb ")</f>
        <v>8</v>
      </c>
      <c r="D57" s="67" t="n">
        <f aca="false">GETPIVOTDATA("Suma de Kg",Hoja5!$A$9,"Descripción ","Cordero Franz Doner Kebab Lamb ")</f>
        <v>2</v>
      </c>
    </row>
    <row r="58" customFormat="false" ht="21.75" hidden="false" customHeight="true" outlineLevel="0" collapsed="false">
      <c r="A58" s="49"/>
      <c r="B58" s="58" t="s">
        <v>294</v>
      </c>
      <c r="C58" s="67" t="n">
        <f aca="false">GETPIVOTDATA("Suma de Cantidad ",Hoja5!$A$9,"Descripción ","Greek Mayonnaise")</f>
        <v>4</v>
      </c>
      <c r="D58" s="67" t="n">
        <f aca="false">GETPIVOTDATA("Suma de Kg",Hoja5!$A$9,"Descripción ","Greek Mayonnaise")</f>
        <v>0.7</v>
      </c>
    </row>
    <row r="59" customFormat="false" ht="21.75" hidden="false" customHeight="true" outlineLevel="0" collapsed="false">
      <c r="A59" s="49"/>
      <c r="B59" s="58" t="s">
        <v>295</v>
      </c>
      <c r="C59" s="67" t="n">
        <f aca="false">GETPIVOTDATA("Suma de Cantidad ",Hoja5!$A$9,"Descripción ","Pomarola Turka ")</f>
        <v>3</v>
      </c>
      <c r="D59" s="67" t="n">
        <f aca="false">GETPIVOTDATA("Suma de Kg",Hoja5!$A$9,"Descripción ","Pomarola Turka ")</f>
        <v>0.45</v>
      </c>
    </row>
    <row r="60" customFormat="false" ht="21.75" hidden="false" customHeight="true" outlineLevel="0" collapsed="false">
      <c r="A60" s="49"/>
      <c r="B60" s="69" t="s">
        <v>296</v>
      </c>
      <c r="C60" s="59" t="n">
        <f aca="false">SUM(C38:C59)</f>
        <v>745.03</v>
      </c>
      <c r="D60" s="59" t="n">
        <f aca="false">SUM(D38:D59)</f>
        <v>205.83</v>
      </c>
    </row>
    <row r="61" customFormat="false" ht="21.75" hidden="false" customHeight="true" outlineLevel="0" collapsed="false">
      <c r="A61" s="49"/>
      <c r="B61" s="70"/>
      <c r="C61" s="64"/>
      <c r="D61" s="64"/>
    </row>
    <row r="62" customFormat="false" ht="36" hidden="false" customHeight="true" outlineLevel="0" collapsed="false">
      <c r="A62" s="49"/>
      <c r="B62" s="65" t="s">
        <v>297</v>
      </c>
      <c r="C62" s="55" t="s">
        <v>249</v>
      </c>
      <c r="D62" s="55" t="s">
        <v>250</v>
      </c>
    </row>
    <row r="63" customFormat="false" ht="21.75" hidden="false" customHeight="true" outlineLevel="0" collapsed="false">
      <c r="A63" s="49"/>
      <c r="B63" s="60" t="s">
        <v>298</v>
      </c>
      <c r="C63" s="59" t="n">
        <f aca="false">GETPIVOTDATA("Suma de Cantidad ",Hoja5!$A$9,"Descripción ","Jamon pizza  x 3.2 Kg (Entero)")</f>
        <v>218.07</v>
      </c>
      <c r="D63" s="59" t="n">
        <f aca="false">GETPIVOTDATA("Suma de Kg",Hoja5!$A$9,"Descripción ","Jamon pizza  x 3.2 Kg (Entero)")</f>
        <v>218.07</v>
      </c>
    </row>
    <row r="64" customFormat="false" ht="21.75" hidden="false" customHeight="true" outlineLevel="0" collapsed="false">
      <c r="A64" s="49"/>
      <c r="B64" s="60" t="s">
        <v>299</v>
      </c>
      <c r="C64" s="59" t="n">
        <f aca="false">GETPIVOTDATA("Suma de Cantidad ",Hoja5!$A$9,"Descripción ","Jamon pizza x 250g")</f>
        <v>2</v>
      </c>
      <c r="D64" s="59" t="n">
        <f aca="false">GETPIVOTDATA("Suma de Kg",Hoja5!$A$9,"Descripción ","Jamon pizza x 250g")</f>
        <v>0.5</v>
      </c>
    </row>
    <row r="65" customFormat="false" ht="21.75" hidden="false" customHeight="true" outlineLevel="0" collapsed="false">
      <c r="A65" s="49"/>
      <c r="B65" s="60" t="s">
        <v>300</v>
      </c>
      <c r="C65" s="59" t="n">
        <f aca="false">GETPIVOTDATA("Suma de Cantidad ",Hoja5!$A$9,"Descripción ","Jamon Pizza x 500g")</f>
        <v>102</v>
      </c>
      <c r="D65" s="59" t="n">
        <f aca="false">GETPIVOTDATA("Suma de Kg",Hoja5!$A$9,"Descripción ","Jamon Pizza x 500g")</f>
        <v>51</v>
      </c>
    </row>
    <row r="66" customFormat="false" ht="21.75" hidden="false" customHeight="true" outlineLevel="0" collapsed="false">
      <c r="A66" s="49"/>
      <c r="B66" s="60" t="s">
        <v>301</v>
      </c>
      <c r="C66" s="59" t="n">
        <f aca="false">GETPIVOTDATA("Suma de Cantidad ",Hoja5!$A$9,"Descripción ","Jamon Ingles (Entero)")</f>
        <v>13.9</v>
      </c>
      <c r="D66" s="59" t="n">
        <f aca="false">GETPIVOTDATA("Suma de Kg",Hoja5!$A$9,"Descripción ","Jamon Ingles (Entero)")</f>
        <v>13.9</v>
      </c>
    </row>
    <row r="67" customFormat="false" ht="21.75" hidden="false" customHeight="true" outlineLevel="0" collapsed="false">
      <c r="A67" s="49"/>
      <c r="B67" s="58" t="s">
        <v>302</v>
      </c>
      <c r="C67" s="59" t="n">
        <f aca="false">GETPIVOTDATA("Suma de Cantidad ",Hoja5!$A$9,"Descripción ","Jamon Ingles x 250g")</f>
        <v>38</v>
      </c>
      <c r="D67" s="59" t="n">
        <f aca="false">GETPIVOTDATA("Suma de Kg",Hoja5!$A$9,"Descripción ","Jamon Ingles x 250g")</f>
        <v>9.5</v>
      </c>
    </row>
    <row r="68" customFormat="false" ht="21.75" hidden="false" customHeight="true" outlineLevel="0" collapsed="false">
      <c r="A68" s="49"/>
      <c r="B68" s="58" t="s">
        <v>303</v>
      </c>
      <c r="C68" s="59" t="n">
        <f aca="false">GETPIVOTDATA("Suma de Cantidad ",Hoja5!$A$9,"Descripción ","Jamon Ingles x 300g ")</f>
        <v>27</v>
      </c>
      <c r="D68" s="59" t="n">
        <f aca="false">GETPIVOTDATA("Suma de Kg",Hoja5!$A$9,"Descripción ","Jamon Ingles x 300g ")</f>
        <v>8.1</v>
      </c>
    </row>
    <row r="69" customFormat="false" ht="21.75" hidden="false" customHeight="true" outlineLevel="0" collapsed="false">
      <c r="A69" s="49"/>
      <c r="B69" s="58" t="s">
        <v>304</v>
      </c>
      <c r="C69" s="59" t="n">
        <f aca="false">GETPIVOTDATA("Suma de Cantidad ",Hoja5!$A$9,"Descripción ","Jamon del paÍs (Entero) X Kilos ")</f>
        <v>18.54</v>
      </c>
      <c r="D69" s="59" t="n">
        <f aca="false">GETPIVOTDATA("Suma de Kg",Hoja5!$A$9,"Descripción ","Jamon del paÍs (Entero) X Kilos ")</f>
        <v>18.54</v>
      </c>
    </row>
    <row r="70" customFormat="false" ht="21.75" hidden="false" customHeight="true" outlineLevel="0" collapsed="false">
      <c r="A70" s="49"/>
      <c r="B70" s="58" t="s">
        <v>305</v>
      </c>
      <c r="C70" s="59" t="n">
        <f aca="false">GETPIVOTDATA("Suma de Cantidad ",Hoja5!$A$9,"Descripción ","Jamon del país artesanal 250g")</f>
        <v>60</v>
      </c>
      <c r="D70" s="59" t="n">
        <f aca="false">GETPIVOTDATA("Suma de Kg",Hoja5!$A$9,"Descripción ","Jamon del país artesanal 250g")</f>
        <v>15</v>
      </c>
    </row>
    <row r="71" customFormat="false" ht="21.75" hidden="false" customHeight="true" outlineLevel="0" collapsed="false">
      <c r="A71" s="49"/>
      <c r="B71" s="58" t="s">
        <v>306</v>
      </c>
      <c r="C71" s="59" t="n">
        <f aca="false">GETPIVOTDATA("Suma de Cantidad ",Hoja5!$A$9,"Descripción ","Jamon la nonna entero")</f>
        <v>8.58</v>
      </c>
      <c r="D71" s="59" t="n">
        <f aca="false">GETPIVOTDATA("Suma de Kg",Hoja5!$A$9,"Descripción ","Jamon la nonna entero")</f>
        <v>8.58</v>
      </c>
    </row>
    <row r="72" customFormat="false" ht="21.75" hidden="false" customHeight="true" outlineLevel="0" collapsed="false">
      <c r="A72" s="49"/>
      <c r="B72" s="58" t="s">
        <v>307</v>
      </c>
      <c r="C72" s="59" t="n">
        <f aca="false">GETPIVOTDATA("Suma de Cantidad ",Hoja5!$A$9,"Descripción ","Jamon La nonna x 250g")</f>
        <v>11</v>
      </c>
      <c r="D72" s="59" t="n">
        <f aca="false">GETPIVOTDATA("Suma de Kg",Hoja5!$A$9,"Descripción ","Jamon La nonna x 250g")</f>
        <v>2.75</v>
      </c>
    </row>
    <row r="73" customFormat="false" ht="21.75" hidden="false" customHeight="true" outlineLevel="0" collapsed="false">
      <c r="A73" s="49"/>
      <c r="B73" s="58" t="s">
        <v>308</v>
      </c>
      <c r="C73" s="59" t="n">
        <f aca="false">GETPIVOTDATA("Suma de Cantidad ",Hoja5!$A$9,"Descripción ","Jamon La nonna x 300g")</f>
        <v>2</v>
      </c>
      <c r="D73" s="59" t="n">
        <f aca="false">GETPIVOTDATA("Suma de Kg",Hoja5!$A$9,"Descripción ","Jamon La nonna x 300g")</f>
        <v>0.6</v>
      </c>
    </row>
    <row r="74" customFormat="false" ht="21.75" hidden="false" customHeight="true" outlineLevel="0" collapsed="false">
      <c r="A74" s="49"/>
      <c r="B74" s="58" t="s">
        <v>309</v>
      </c>
      <c r="C74" s="59" t="n">
        <f aca="false">GETPIVOTDATA("Suma de Cantidad ",Hoja5!$A$9,"Descripción ","Jamon tata entero")</f>
        <v>5.66</v>
      </c>
      <c r="D74" s="59" t="n">
        <f aca="false">GETPIVOTDATA("Suma de Kg",Hoja5!$A$9,"Descripción ","Jamon tata entero")</f>
        <v>5.66</v>
      </c>
    </row>
    <row r="75" customFormat="false" ht="21.75" hidden="false" customHeight="true" outlineLevel="0" collapsed="false">
      <c r="A75" s="49"/>
      <c r="B75" s="58" t="s">
        <v>310</v>
      </c>
      <c r="C75" s="59" t="n">
        <f aca="false">GETPIVOTDATA("Suma de Cantidad ",Hoja5!$A$9,"Descripción ","Jamon tata x 250 gr")</f>
        <v>14</v>
      </c>
      <c r="D75" s="59" t="n">
        <f aca="false">GETPIVOTDATA("Suma de Kg",Hoja5!$A$9,"Descripción ","Jamon tata x 250 gr")</f>
        <v>3.5</v>
      </c>
    </row>
    <row r="76" customFormat="false" ht="21.75" hidden="false" customHeight="true" outlineLevel="0" collapsed="false">
      <c r="A76" s="49"/>
      <c r="B76" s="58" t="s">
        <v>311</v>
      </c>
      <c r="C76" s="59" t="n">
        <f aca="false">GETPIVOTDATA("Suma de Cantidad ",Hoja5!$A$9,"Descripción ","Jamon tata a las finas hierbas entero")</f>
        <v>2.98</v>
      </c>
      <c r="D76" s="59" t="n">
        <f aca="false">GETPIVOTDATA("Suma de Kg",Hoja5!$A$9,"Descripción ","Jamon tata a las finas hierbas entero")</f>
        <v>2.98</v>
      </c>
    </row>
    <row r="77" customFormat="false" ht="24.75" hidden="false" customHeight="true" outlineLevel="0" collapsed="false">
      <c r="A77" s="49"/>
      <c r="B77" s="58" t="s">
        <v>312</v>
      </c>
      <c r="C77" s="59" t="n">
        <f aca="false">GETPIVOTDATA("Suma de Cantidad ",Hoja5!$A$9,"Descripción ","Jamon tata a las finas hierbas x 300g")</f>
        <v>7</v>
      </c>
      <c r="D77" s="59" t="n">
        <f aca="false">GETPIVOTDATA("Suma de Kg",Hoja5!$A$9,"Descripción ","Jamon tata a las finas hierbas x 300g")</f>
        <v>2.1</v>
      </c>
    </row>
    <row r="78" customFormat="false" ht="21" hidden="false" customHeight="false" outlineLevel="0" collapsed="false">
      <c r="B78" s="69" t="s">
        <v>313</v>
      </c>
      <c r="C78" s="59" t="n">
        <f aca="false">SUM(C63:C77)</f>
        <v>530.73</v>
      </c>
      <c r="D78" s="59" t="n">
        <f aca="false">SUM(D63:D77)</f>
        <v>360.78</v>
      </c>
    </row>
    <row r="80" customFormat="false" ht="26.25" hidden="false" customHeight="true" outlineLevel="0" collapsed="false">
      <c r="B80" s="71" t="s">
        <v>314</v>
      </c>
      <c r="C80" s="72" t="n">
        <f aca="false">C21+C33+C60+C78</f>
        <v>2553.26</v>
      </c>
      <c r="D80" s="72" t="n">
        <f aca="false">D21+D33+D60+D78</f>
        <v>1673.1</v>
      </c>
    </row>
  </sheetData>
  <mergeCells count="2">
    <mergeCell ref="B7:D7"/>
    <mergeCell ref="C10:D10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7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LibreOffice/6.4.6.2$Linux_X86_64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2020-05-30T21:33:37Z</dcterms:created>
  <dc:creator>Yohals Viera</dc:creator>
  <dc:description/>
  <dc:language>es-PE</dc:language>
  <cp:lastModifiedBy>Vivian Foods</cp:lastModifiedBy>
  <cp:lastPrinted>2020-09-02T21:25:34Z</cp:lastPrinted>
  <dcterms:modified xsi:type="dcterms:W3CDTF">2020-09-03T20:07:05Z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